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a93906973df678e/"/>
    </mc:Choice>
  </mc:AlternateContent>
  <xr:revisionPtr revIDLastSave="0" documentId="8_{F87FB992-2C70-40D3-BBAA-8BDCC3BDD0CF}" xr6:coauthVersionLast="47" xr6:coauthVersionMax="47" xr10:uidLastSave="{00000000-0000-0000-0000-000000000000}"/>
  <bookViews>
    <workbookView xWindow="0" yWindow="0" windowWidth="28800" windowHeight="18000" firstSheet="11" activeTab="11" xr2:uid="{00000000-000D-0000-FFFF-FFFF00000000}"/>
  </bookViews>
  <sheets>
    <sheet name="Business Brief" sheetId="1" r:id="rId1"/>
    <sheet name="Product Reference" sheetId="2" r:id="rId2"/>
    <sheet name="Customer Reference" sheetId="3" r:id="rId3"/>
    <sheet name="Date Analysis" sheetId="16" r:id="rId4"/>
    <sheet name="Saleperson Analysis" sheetId="17" r:id="rId5"/>
    <sheet name="Dashboard" sheetId="18" r:id="rId6"/>
    <sheet name="Clean Sheet" sheetId="4" r:id="rId7"/>
    <sheet name="Customer Type Analysis" sheetId="15" r:id="rId8"/>
    <sheet name="Product Sheet" sheetId="12" r:id="rId9"/>
    <sheet name="Region Analysis" sheetId="10" r:id="rId10"/>
    <sheet name="Analysis Sheet" sheetId="9" r:id="rId11"/>
    <sheet name="Raw Sheet" sheetId="7" r:id="rId12"/>
    <sheet name="Inspection Notes" sheetId="5" r:id="rId13"/>
    <sheet name="Excluded Records" sheetId="8" r:id="rId14"/>
  </sheets>
  <definedNames>
    <definedName name="_xlnm._FilterDatabase" localSheetId="0" hidden="1">'Business Brief'!$A$1:$B$1</definedName>
    <definedName name="_xlnm._FilterDatabase" localSheetId="6" hidden="1">'Clean Sheet'!$A$1:$N$359</definedName>
    <definedName name="_xlnm._FilterDatabase" localSheetId="2" hidden="1">'Customer Reference'!$A$1:$C$41</definedName>
    <definedName name="_xlnm._FilterDatabase" localSheetId="12" hidden="1">'Inspection Notes'!$A$1:$E$2</definedName>
    <definedName name="_xlnm._FilterDatabase" localSheetId="1" hidden="1">'Product Reference'!$A$1:$D$9</definedName>
  </definedNames>
  <calcPr calcId="191028"/>
  <pivotCaches>
    <pivotCache cacheId="1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2" l="1"/>
  <c r="B17" i="12"/>
  <c r="A6" i="18"/>
  <c r="I6" i="18" s="1"/>
  <c r="D9" i="16"/>
  <c r="D8" i="16"/>
  <c r="D7" i="16"/>
  <c r="D6" i="16"/>
  <c r="D5" i="16"/>
  <c r="D4" i="16"/>
  <c r="D4" i="12"/>
  <c r="D6" i="12"/>
  <c r="D5" i="12"/>
  <c r="D5" i="15"/>
  <c r="D4" i="15"/>
  <c r="M6" i="18"/>
  <c r="E6" i="18"/>
  <c r="E9" i="17"/>
  <c r="E8" i="17"/>
  <c r="E7" i="17"/>
  <c r="E6" i="17"/>
  <c r="E5" i="17"/>
  <c r="E4" i="17"/>
  <c r="D11" i="12"/>
  <c r="D10" i="12"/>
  <c r="D9" i="12"/>
  <c r="D8" i="12"/>
  <c r="D7" i="12"/>
  <c r="D7" i="10"/>
  <c r="D6" i="10"/>
  <c r="D5" i="10"/>
  <c r="D4" i="10"/>
  <c r="P46" i="4"/>
  <c r="P320" i="4"/>
  <c r="P251" i="4"/>
  <c r="P192" i="4"/>
  <c r="P58" i="4"/>
  <c r="P47" i="4"/>
  <c r="P287" i="4"/>
  <c r="P6" i="4"/>
  <c r="P313" i="4"/>
  <c r="P149" i="4"/>
  <c r="P280" i="4"/>
  <c r="P59" i="4"/>
  <c r="P132" i="4"/>
  <c r="P281" i="4"/>
  <c r="P38" i="4"/>
  <c r="P85" i="4"/>
  <c r="P39" i="4"/>
  <c r="P112" i="4"/>
  <c r="P82" i="4"/>
  <c r="P156" i="4"/>
  <c r="P334" i="4"/>
  <c r="P195" i="4"/>
  <c r="P357" i="4"/>
  <c r="P358" i="4"/>
  <c r="P17" i="4"/>
  <c r="P204" i="4"/>
  <c r="P137" i="4"/>
  <c r="P26" i="4"/>
  <c r="P221" i="4"/>
  <c r="P229" i="4"/>
  <c r="P67" i="4"/>
  <c r="P209" i="4"/>
  <c r="P140" i="4"/>
  <c r="P309" i="4"/>
  <c r="P79" i="4"/>
  <c r="P34" i="4"/>
  <c r="P157" i="4"/>
  <c r="P257" i="4"/>
  <c r="P173" i="4"/>
  <c r="P299" i="4"/>
  <c r="P150" i="4"/>
  <c r="P283" i="4"/>
  <c r="P161" i="4"/>
  <c r="P28" i="4"/>
  <c r="P10" i="4"/>
  <c r="P294" i="4"/>
  <c r="P359" i="4"/>
  <c r="P30" i="4"/>
  <c r="P288" i="4"/>
  <c r="P19" i="4"/>
  <c r="P226" i="4"/>
  <c r="P310" i="4"/>
  <c r="P20" i="4"/>
  <c r="P194" i="4"/>
  <c r="P69" i="4"/>
  <c r="P155" i="4"/>
  <c r="P230" i="4"/>
  <c r="P322" i="4"/>
  <c r="P172" i="4"/>
  <c r="P232" i="4"/>
  <c r="P332" i="4"/>
  <c r="P113" i="4"/>
  <c r="P291" i="4"/>
  <c r="P252" i="4"/>
  <c r="P295" i="4"/>
  <c r="P271" i="4"/>
  <c r="P293" i="4"/>
  <c r="P311" i="4"/>
  <c r="P186" i="4"/>
  <c r="P37" i="4"/>
  <c r="P347" i="4"/>
  <c r="P343" i="4"/>
  <c r="P158" i="4"/>
  <c r="P169" i="4"/>
  <c r="P125" i="4"/>
  <c r="P239" i="4"/>
  <c r="P133" i="4"/>
  <c r="P328" i="4"/>
  <c r="P339" i="4"/>
  <c r="P60" i="4"/>
  <c r="P258" i="4"/>
  <c r="P134" i="4"/>
  <c r="P297" i="4"/>
  <c r="P340" i="4"/>
  <c r="P98" i="4"/>
  <c r="P99" i="4"/>
  <c r="P48" i="4"/>
  <c r="P191" i="4"/>
  <c r="P123" i="4"/>
  <c r="P316" i="4"/>
  <c r="P341" i="4"/>
  <c r="P196" i="4"/>
  <c r="P224" i="4"/>
  <c r="P5" i="4"/>
  <c r="P236" i="4"/>
  <c r="P282" i="4"/>
  <c r="P75" i="4"/>
  <c r="P115" i="4"/>
  <c r="P18" i="4"/>
  <c r="P228" i="4"/>
  <c r="P345" i="4"/>
  <c r="P52" i="4"/>
  <c r="P164" i="4"/>
  <c r="P348" i="4"/>
  <c r="P154" i="4"/>
  <c r="P237" i="4"/>
  <c r="P141" i="4"/>
  <c r="P259" i="4"/>
  <c r="P284" i="4"/>
  <c r="P62" i="4"/>
  <c r="P86" i="4"/>
  <c r="P65" i="4"/>
  <c r="P335" i="4"/>
  <c r="P214" i="4"/>
  <c r="P131" i="4"/>
  <c r="P70" i="4"/>
  <c r="P106" i="4"/>
  <c r="P71" i="4"/>
  <c r="P44" i="4"/>
  <c r="P202" i="4"/>
  <c r="P127" i="4"/>
  <c r="P233" i="4"/>
  <c r="P266" i="4"/>
  <c r="P225" i="4"/>
  <c r="P32" i="4"/>
  <c r="P264" i="4"/>
  <c r="P179" i="4"/>
  <c r="P147" i="4"/>
  <c r="P289" i="4"/>
  <c r="P267" i="4"/>
  <c r="P278" i="4"/>
  <c r="P349" i="4"/>
  <c r="P227" i="4"/>
  <c r="P76" i="4"/>
  <c r="P53" i="4"/>
  <c r="P301" i="4"/>
  <c r="P223" i="4"/>
  <c r="P95" i="4"/>
  <c r="P174" i="4"/>
  <c r="P135" i="4"/>
  <c r="P83" i="4"/>
  <c r="P49" i="4"/>
  <c r="P319" i="4"/>
  <c r="P243" i="4"/>
  <c r="P138" i="4"/>
  <c r="P312" i="4"/>
  <c r="P41" i="4"/>
  <c r="P234" i="4"/>
  <c r="P210" i="4"/>
  <c r="P56" i="4"/>
  <c r="P256" i="4"/>
  <c r="P23" i="4"/>
  <c r="P180" i="4"/>
  <c r="P107" i="4"/>
  <c r="P182" i="4"/>
  <c r="P193" i="4"/>
  <c r="P181" i="4"/>
  <c r="P338" i="4"/>
  <c r="P253" i="4"/>
  <c r="P100" i="4"/>
  <c r="P91" i="4"/>
  <c r="P300" i="4"/>
  <c r="P170" i="4"/>
  <c r="P330" i="4"/>
  <c r="P8" i="4"/>
  <c r="P199" i="4"/>
  <c r="P190" i="4"/>
  <c r="P260" i="4"/>
  <c r="P21" i="4"/>
  <c r="P42" i="4"/>
  <c r="P66" i="4"/>
  <c r="P247" i="4"/>
  <c r="P314" i="4"/>
  <c r="P272" i="4"/>
  <c r="P159" i="4"/>
  <c r="P102" i="4"/>
  <c r="P27" i="4"/>
  <c r="P353" i="4"/>
  <c r="P276" i="4"/>
  <c r="P344" i="4"/>
  <c r="P119" i="4"/>
  <c r="P200" i="4"/>
  <c r="P3" i="4"/>
  <c r="P273" i="4"/>
  <c r="P87" i="4"/>
  <c r="P72" i="4"/>
  <c r="P302" i="4"/>
  <c r="P240" i="4"/>
  <c r="P121" i="4"/>
  <c r="P274" i="4"/>
  <c r="P265" i="4"/>
  <c r="P130" i="4"/>
  <c r="P29" i="4"/>
  <c r="P111" i="4"/>
  <c r="P296" i="4"/>
  <c r="P142" i="4"/>
  <c r="P57" i="4"/>
  <c r="P45" i="4"/>
  <c r="P244" i="4"/>
  <c r="P306" i="4"/>
  <c r="P74" i="4"/>
  <c r="P139" i="4"/>
  <c r="P215" i="4"/>
  <c r="P205" i="4"/>
  <c r="P241" i="4"/>
  <c r="P212" i="4"/>
  <c r="P308" i="4"/>
  <c r="P63" i="4"/>
  <c r="P268" i="4"/>
  <c r="P261" i="4"/>
  <c r="P15" i="4"/>
  <c r="P213" i="4"/>
  <c r="P217" i="4"/>
  <c r="P13" i="4"/>
  <c r="P162" i="4"/>
  <c r="P151" i="4"/>
  <c r="P89" i="4"/>
  <c r="P92" i="4"/>
  <c r="P201" i="4"/>
  <c r="P356" i="4"/>
  <c r="P136" i="4"/>
  <c r="P298" i="4"/>
  <c r="P263" i="4"/>
  <c r="P329" i="4"/>
  <c r="P4" i="4"/>
  <c r="P245" i="4"/>
  <c r="P36" i="4"/>
  <c r="P153" i="4"/>
  <c r="P105" i="4"/>
  <c r="P143" i="4"/>
  <c r="P254" i="4"/>
  <c r="P68" i="4"/>
  <c r="P333" i="4"/>
  <c r="P269" i="4"/>
  <c r="P326" i="4"/>
  <c r="P285" i="4"/>
  <c r="P176" i="4"/>
  <c r="P206" i="4"/>
  <c r="P124" i="4"/>
  <c r="P307" i="4"/>
  <c r="P350" i="4"/>
  <c r="P24" i="4"/>
  <c r="P303" i="4"/>
  <c r="P219" i="4"/>
  <c r="P122" i="4"/>
  <c r="P218" i="4"/>
  <c r="P40" i="4"/>
  <c r="P43" i="4"/>
  <c r="P235" i="4"/>
  <c r="P286" i="4"/>
  <c r="P88" i="4"/>
  <c r="P93" i="4"/>
  <c r="P323" i="4"/>
  <c r="P73" i="4"/>
  <c r="P90" i="4"/>
  <c r="P33" i="4"/>
  <c r="P317" i="4"/>
  <c r="P116" i="4"/>
  <c r="P160" i="4"/>
  <c r="P103" i="4"/>
  <c r="P128" i="4"/>
  <c r="P262" i="4"/>
  <c r="P246" i="4"/>
  <c r="P275" i="4"/>
  <c r="P117" i="4"/>
  <c r="P152" i="4"/>
  <c r="P114" i="4"/>
  <c r="P183" i="4"/>
  <c r="P108" i="4"/>
  <c r="P104" i="4"/>
  <c r="P207" i="4"/>
  <c r="P220" i="4"/>
  <c r="P54" i="4"/>
  <c r="P101" i="4"/>
  <c r="P50" i="4"/>
  <c r="P197" i="4"/>
  <c r="P80" i="4"/>
  <c r="P187" i="4"/>
  <c r="P222" i="4"/>
  <c r="P216" i="4"/>
  <c r="P188" i="4"/>
  <c r="P231" i="4"/>
  <c r="P2" i="4"/>
  <c r="P324" i="4"/>
  <c r="P126" i="4"/>
  <c r="P315" i="4"/>
  <c r="P11" i="4"/>
  <c r="P84" i="4"/>
  <c r="P327" i="4"/>
  <c r="P109" i="4"/>
  <c r="P64" i="4"/>
  <c r="P351" i="4"/>
  <c r="P342" i="4"/>
  <c r="P184" i="4"/>
  <c r="P31" i="4"/>
  <c r="P144" i="4"/>
  <c r="P110" i="4"/>
  <c r="P145" i="4"/>
  <c r="P25" i="4"/>
  <c r="P249" i="4"/>
  <c r="P325" i="4"/>
  <c r="P198" i="4"/>
  <c r="P96" i="4"/>
  <c r="P305" i="4"/>
  <c r="P189" i="4"/>
  <c r="P16" i="4"/>
  <c r="P211" i="4"/>
  <c r="P81" i="4"/>
  <c r="P55" i="4"/>
  <c r="P248" i="4"/>
  <c r="P290" i="4"/>
  <c r="P242" i="4"/>
  <c r="P175" i="4"/>
  <c r="P352" i="4"/>
  <c r="P279" i="4"/>
  <c r="P77" i="4"/>
  <c r="P354" i="4"/>
  <c r="P148" i="4"/>
  <c r="P9" i="4"/>
  <c r="P165" i="4"/>
  <c r="P12" i="4"/>
  <c r="P270" i="4"/>
  <c r="P163" i="4"/>
  <c r="P120" i="4"/>
  <c r="P277" i="4"/>
  <c r="P171" i="4"/>
  <c r="P336" i="4"/>
  <c r="P321" i="4"/>
  <c r="P318" i="4"/>
  <c r="P129" i="4"/>
  <c r="P203" i="4"/>
  <c r="P94" i="4"/>
  <c r="P177" i="4"/>
  <c r="P331" i="4"/>
  <c r="P61" i="4"/>
  <c r="P304" i="4"/>
  <c r="P208" i="4"/>
  <c r="P185" i="4"/>
  <c r="P118" i="4"/>
  <c r="P250" i="4"/>
  <c r="P337" i="4"/>
  <c r="P238" i="4"/>
  <c r="P78" i="4"/>
  <c r="P292" i="4"/>
  <c r="P178" i="4"/>
  <c r="P35" i="4"/>
  <c r="P97" i="4"/>
  <c r="P14" i="4"/>
  <c r="P7" i="4"/>
  <c r="P167" i="4"/>
  <c r="P355" i="4"/>
  <c r="P51" i="4"/>
  <c r="P255" i="4"/>
  <c r="O46" i="4"/>
  <c r="Q46" i="4" s="1"/>
  <c r="R46" i="4" s="1"/>
  <c r="O320" i="4"/>
  <c r="Q320" i="4" s="1"/>
  <c r="R320" i="4" s="1"/>
  <c r="O251" i="4"/>
  <c r="Q251" i="4" s="1"/>
  <c r="R251" i="4" s="1"/>
  <c r="O192" i="4"/>
  <c r="Q192" i="4" s="1"/>
  <c r="R192" i="4" s="1"/>
  <c r="O58" i="4"/>
  <c r="Q58" i="4" s="1"/>
  <c r="R58" i="4" s="1"/>
  <c r="O47" i="4"/>
  <c r="Q47" i="4" s="1"/>
  <c r="R47" i="4" s="1"/>
  <c r="O287" i="4"/>
  <c r="Q287" i="4" s="1"/>
  <c r="R287" i="4" s="1"/>
  <c r="O6" i="4"/>
  <c r="Q6" i="4" s="1"/>
  <c r="R6" i="4" s="1"/>
  <c r="O313" i="4"/>
  <c r="Q313" i="4" s="1"/>
  <c r="R313" i="4" s="1"/>
  <c r="O149" i="4"/>
  <c r="Q149" i="4" s="1"/>
  <c r="R149" i="4" s="1"/>
  <c r="O280" i="4"/>
  <c r="Q280" i="4" s="1"/>
  <c r="R280" i="4" s="1"/>
  <c r="O59" i="4"/>
  <c r="Q59" i="4" s="1"/>
  <c r="R59" i="4" s="1"/>
  <c r="O132" i="4"/>
  <c r="Q132" i="4" s="1"/>
  <c r="R132" i="4" s="1"/>
  <c r="O281" i="4"/>
  <c r="Q281" i="4" s="1"/>
  <c r="R281" i="4" s="1"/>
  <c r="O38" i="4"/>
  <c r="Q38" i="4" s="1"/>
  <c r="R38" i="4" s="1"/>
  <c r="O85" i="4"/>
  <c r="Q85" i="4" s="1"/>
  <c r="R85" i="4" s="1"/>
  <c r="O39" i="4"/>
  <c r="Q39" i="4" s="1"/>
  <c r="R39" i="4" s="1"/>
  <c r="O112" i="4"/>
  <c r="Q112" i="4" s="1"/>
  <c r="R112" i="4" s="1"/>
  <c r="O82" i="4"/>
  <c r="Q82" i="4" s="1"/>
  <c r="R82" i="4" s="1"/>
  <c r="O156" i="4"/>
  <c r="Q156" i="4" s="1"/>
  <c r="R156" i="4" s="1"/>
  <c r="O334" i="4"/>
  <c r="Q334" i="4" s="1"/>
  <c r="R334" i="4" s="1"/>
  <c r="O195" i="4"/>
  <c r="Q195" i="4" s="1"/>
  <c r="R195" i="4" s="1"/>
  <c r="O357" i="4"/>
  <c r="Q357" i="4" s="1"/>
  <c r="R357" i="4" s="1"/>
  <c r="O358" i="4"/>
  <c r="Q358" i="4" s="1"/>
  <c r="R358" i="4" s="1"/>
  <c r="O17" i="4"/>
  <c r="Q17" i="4" s="1"/>
  <c r="R17" i="4" s="1"/>
  <c r="O204" i="4"/>
  <c r="Q204" i="4" s="1"/>
  <c r="R204" i="4" s="1"/>
  <c r="O137" i="4"/>
  <c r="Q137" i="4" s="1"/>
  <c r="R137" i="4" s="1"/>
  <c r="O26" i="4"/>
  <c r="Q26" i="4" s="1"/>
  <c r="R26" i="4" s="1"/>
  <c r="O221" i="4"/>
  <c r="Q221" i="4" s="1"/>
  <c r="R221" i="4" s="1"/>
  <c r="O229" i="4"/>
  <c r="Q229" i="4" s="1"/>
  <c r="R229" i="4" s="1"/>
  <c r="O67" i="4"/>
  <c r="Q67" i="4" s="1"/>
  <c r="R67" i="4" s="1"/>
  <c r="O209" i="4"/>
  <c r="Q209" i="4" s="1"/>
  <c r="R209" i="4" s="1"/>
  <c r="O140" i="4"/>
  <c r="Q140" i="4" s="1"/>
  <c r="R140" i="4" s="1"/>
  <c r="O309" i="4"/>
  <c r="Q309" i="4" s="1"/>
  <c r="R309" i="4" s="1"/>
  <c r="O79" i="4"/>
  <c r="Q79" i="4" s="1"/>
  <c r="R79" i="4" s="1"/>
  <c r="O34" i="4"/>
  <c r="Q34" i="4" s="1"/>
  <c r="R34" i="4" s="1"/>
  <c r="O157" i="4"/>
  <c r="Q157" i="4" s="1"/>
  <c r="R157" i="4" s="1"/>
  <c r="O257" i="4"/>
  <c r="Q257" i="4" s="1"/>
  <c r="R257" i="4" s="1"/>
  <c r="O173" i="4"/>
  <c r="Q173" i="4" s="1"/>
  <c r="R173" i="4" s="1"/>
  <c r="O299" i="4"/>
  <c r="Q299" i="4" s="1"/>
  <c r="R299" i="4" s="1"/>
  <c r="O150" i="4"/>
  <c r="Q150" i="4" s="1"/>
  <c r="R150" i="4" s="1"/>
  <c r="O283" i="4"/>
  <c r="Q283" i="4" s="1"/>
  <c r="R283" i="4" s="1"/>
  <c r="O161" i="4"/>
  <c r="Q161" i="4" s="1"/>
  <c r="R161" i="4" s="1"/>
  <c r="O28" i="4"/>
  <c r="Q28" i="4" s="1"/>
  <c r="R28" i="4" s="1"/>
  <c r="O10" i="4"/>
  <c r="Q10" i="4" s="1"/>
  <c r="R10" i="4" s="1"/>
  <c r="O294" i="4"/>
  <c r="Q294" i="4" s="1"/>
  <c r="R294" i="4" s="1"/>
  <c r="O359" i="4"/>
  <c r="Q359" i="4" s="1"/>
  <c r="R359" i="4" s="1"/>
  <c r="O30" i="4"/>
  <c r="Q30" i="4" s="1"/>
  <c r="R30" i="4" s="1"/>
  <c r="O288" i="4"/>
  <c r="Q288" i="4" s="1"/>
  <c r="R288" i="4" s="1"/>
  <c r="O19" i="4"/>
  <c r="Q19" i="4" s="1"/>
  <c r="R19" i="4" s="1"/>
  <c r="O226" i="4"/>
  <c r="Q226" i="4" s="1"/>
  <c r="R226" i="4" s="1"/>
  <c r="O168" i="4"/>
  <c r="O310" i="4"/>
  <c r="Q310" i="4" s="1"/>
  <c r="R310" i="4" s="1"/>
  <c r="O20" i="4"/>
  <c r="Q20" i="4" s="1"/>
  <c r="R20" i="4" s="1"/>
  <c r="O194" i="4"/>
  <c r="Q194" i="4" s="1"/>
  <c r="R194" i="4" s="1"/>
  <c r="O69" i="4"/>
  <c r="Q69" i="4" s="1"/>
  <c r="R69" i="4" s="1"/>
  <c r="O155" i="4"/>
  <c r="Q155" i="4" s="1"/>
  <c r="R155" i="4" s="1"/>
  <c r="O230" i="4"/>
  <c r="Q230" i="4" s="1"/>
  <c r="R230" i="4" s="1"/>
  <c r="O322" i="4"/>
  <c r="Q322" i="4" s="1"/>
  <c r="R322" i="4" s="1"/>
  <c r="O172" i="4"/>
  <c r="Q172" i="4" s="1"/>
  <c r="R172" i="4" s="1"/>
  <c r="O232" i="4"/>
  <c r="Q232" i="4" s="1"/>
  <c r="R232" i="4" s="1"/>
  <c r="O332" i="4"/>
  <c r="Q332" i="4" s="1"/>
  <c r="R332" i="4" s="1"/>
  <c r="O113" i="4"/>
  <c r="Q113" i="4" s="1"/>
  <c r="R113" i="4" s="1"/>
  <c r="O291" i="4"/>
  <c r="Q291" i="4" s="1"/>
  <c r="R291" i="4" s="1"/>
  <c r="O252" i="4"/>
  <c r="Q252" i="4" s="1"/>
  <c r="R252" i="4" s="1"/>
  <c r="O295" i="4"/>
  <c r="Q295" i="4" s="1"/>
  <c r="R295" i="4" s="1"/>
  <c r="O271" i="4"/>
  <c r="Q271" i="4" s="1"/>
  <c r="R271" i="4" s="1"/>
  <c r="O293" i="4"/>
  <c r="Q293" i="4" s="1"/>
  <c r="R293" i="4" s="1"/>
  <c r="O311" i="4"/>
  <c r="Q311" i="4" s="1"/>
  <c r="R311" i="4" s="1"/>
  <c r="O186" i="4"/>
  <c r="Q186" i="4" s="1"/>
  <c r="R186" i="4" s="1"/>
  <c r="O37" i="4"/>
  <c r="Q37" i="4" s="1"/>
  <c r="R37" i="4" s="1"/>
  <c r="O347" i="4"/>
  <c r="Q347" i="4" s="1"/>
  <c r="R347" i="4" s="1"/>
  <c r="O343" i="4"/>
  <c r="Q343" i="4" s="1"/>
  <c r="R343" i="4" s="1"/>
  <c r="O158" i="4"/>
  <c r="Q158" i="4" s="1"/>
  <c r="R158" i="4" s="1"/>
  <c r="O169" i="4"/>
  <c r="Q169" i="4" s="1"/>
  <c r="R169" i="4" s="1"/>
  <c r="O125" i="4"/>
  <c r="Q125" i="4" s="1"/>
  <c r="R125" i="4" s="1"/>
  <c r="O239" i="4"/>
  <c r="Q239" i="4" s="1"/>
  <c r="R239" i="4" s="1"/>
  <c r="O133" i="4"/>
  <c r="Q133" i="4" s="1"/>
  <c r="R133" i="4" s="1"/>
  <c r="O328" i="4"/>
  <c r="Q328" i="4" s="1"/>
  <c r="R328" i="4" s="1"/>
  <c r="O339" i="4"/>
  <c r="Q339" i="4" s="1"/>
  <c r="R339" i="4" s="1"/>
  <c r="O60" i="4"/>
  <c r="Q60" i="4" s="1"/>
  <c r="R60" i="4" s="1"/>
  <c r="O258" i="4"/>
  <c r="Q258" i="4" s="1"/>
  <c r="R258" i="4" s="1"/>
  <c r="O134" i="4"/>
  <c r="Q134" i="4" s="1"/>
  <c r="R134" i="4" s="1"/>
  <c r="O297" i="4"/>
  <c r="Q297" i="4" s="1"/>
  <c r="R297" i="4" s="1"/>
  <c r="O340" i="4"/>
  <c r="Q340" i="4" s="1"/>
  <c r="R340" i="4" s="1"/>
  <c r="O98" i="4"/>
  <c r="Q98" i="4" s="1"/>
  <c r="R98" i="4" s="1"/>
  <c r="O99" i="4"/>
  <c r="Q99" i="4" s="1"/>
  <c r="R99" i="4" s="1"/>
  <c r="O48" i="4"/>
  <c r="Q48" i="4" s="1"/>
  <c r="R48" i="4" s="1"/>
  <c r="O191" i="4"/>
  <c r="Q191" i="4" s="1"/>
  <c r="R191" i="4" s="1"/>
  <c r="O123" i="4"/>
  <c r="Q123" i="4" s="1"/>
  <c r="R123" i="4" s="1"/>
  <c r="O316" i="4"/>
  <c r="Q316" i="4" s="1"/>
  <c r="R316" i="4" s="1"/>
  <c r="O341" i="4"/>
  <c r="Q341" i="4" s="1"/>
  <c r="R341" i="4" s="1"/>
  <c r="O196" i="4"/>
  <c r="Q196" i="4" s="1"/>
  <c r="R196" i="4" s="1"/>
  <c r="O224" i="4"/>
  <c r="O5" i="4"/>
  <c r="Q5" i="4" s="1"/>
  <c r="R5" i="4" s="1"/>
  <c r="O236" i="4"/>
  <c r="Q236" i="4" s="1"/>
  <c r="R236" i="4" s="1"/>
  <c r="O282" i="4"/>
  <c r="Q282" i="4" s="1"/>
  <c r="R282" i="4" s="1"/>
  <c r="O75" i="4"/>
  <c r="Q75" i="4" s="1"/>
  <c r="R75" i="4" s="1"/>
  <c r="O115" i="4"/>
  <c r="Q115" i="4" s="1"/>
  <c r="R115" i="4" s="1"/>
  <c r="O18" i="4"/>
  <c r="Q18" i="4" s="1"/>
  <c r="R18" i="4" s="1"/>
  <c r="O228" i="4"/>
  <c r="Q228" i="4" s="1"/>
  <c r="R228" i="4" s="1"/>
  <c r="O345" i="4"/>
  <c r="Q345" i="4" s="1"/>
  <c r="R345" i="4" s="1"/>
  <c r="O52" i="4"/>
  <c r="Q52" i="4" s="1"/>
  <c r="R52" i="4" s="1"/>
  <c r="O164" i="4"/>
  <c r="Q164" i="4" s="1"/>
  <c r="R164" i="4" s="1"/>
  <c r="O348" i="4"/>
  <c r="Q348" i="4" s="1"/>
  <c r="R348" i="4" s="1"/>
  <c r="O154" i="4"/>
  <c r="Q154" i="4" s="1"/>
  <c r="R154" i="4" s="1"/>
  <c r="O237" i="4"/>
  <c r="Q237" i="4" s="1"/>
  <c r="R237" i="4" s="1"/>
  <c r="O141" i="4"/>
  <c r="Q141" i="4" s="1"/>
  <c r="R141" i="4" s="1"/>
  <c r="O259" i="4"/>
  <c r="Q259" i="4" s="1"/>
  <c r="R259" i="4" s="1"/>
  <c r="O284" i="4"/>
  <c r="Q284" i="4" s="1"/>
  <c r="R284" i="4" s="1"/>
  <c r="O62" i="4"/>
  <c r="Q62" i="4" s="1"/>
  <c r="R62" i="4" s="1"/>
  <c r="O86" i="4"/>
  <c r="Q86" i="4" s="1"/>
  <c r="R86" i="4" s="1"/>
  <c r="O65" i="4"/>
  <c r="Q65" i="4" s="1"/>
  <c r="R65" i="4" s="1"/>
  <c r="O335" i="4"/>
  <c r="Q335" i="4" s="1"/>
  <c r="R335" i="4" s="1"/>
  <c r="O214" i="4"/>
  <c r="Q214" i="4" s="1"/>
  <c r="R214" i="4" s="1"/>
  <c r="O131" i="4"/>
  <c r="Q131" i="4" s="1"/>
  <c r="R131" i="4" s="1"/>
  <c r="O70" i="4"/>
  <c r="Q70" i="4" s="1"/>
  <c r="R70" i="4" s="1"/>
  <c r="O106" i="4"/>
  <c r="Q106" i="4" s="1"/>
  <c r="R106" i="4" s="1"/>
  <c r="O22" i="4"/>
  <c r="O71" i="4"/>
  <c r="Q71" i="4" s="1"/>
  <c r="R71" i="4" s="1"/>
  <c r="O44" i="4"/>
  <c r="Q44" i="4" s="1"/>
  <c r="R44" i="4" s="1"/>
  <c r="O202" i="4"/>
  <c r="Q202" i="4" s="1"/>
  <c r="R202" i="4" s="1"/>
  <c r="O127" i="4"/>
  <c r="Q127" i="4" s="1"/>
  <c r="R127" i="4" s="1"/>
  <c r="O233" i="4"/>
  <c r="Q233" i="4" s="1"/>
  <c r="R233" i="4" s="1"/>
  <c r="O266" i="4"/>
  <c r="Q266" i="4" s="1"/>
  <c r="R266" i="4" s="1"/>
  <c r="O225" i="4"/>
  <c r="Q225" i="4" s="1"/>
  <c r="R225" i="4" s="1"/>
  <c r="O32" i="4"/>
  <c r="Q32" i="4" s="1"/>
  <c r="R32" i="4" s="1"/>
  <c r="O264" i="4"/>
  <c r="Q264" i="4" s="1"/>
  <c r="R264" i="4" s="1"/>
  <c r="O179" i="4"/>
  <c r="Q179" i="4" s="1"/>
  <c r="R179" i="4" s="1"/>
  <c r="O147" i="4"/>
  <c r="Q147" i="4" s="1"/>
  <c r="R147" i="4" s="1"/>
  <c r="O289" i="4"/>
  <c r="Q289" i="4" s="1"/>
  <c r="R289" i="4" s="1"/>
  <c r="O267" i="4"/>
  <c r="Q267" i="4" s="1"/>
  <c r="R267" i="4" s="1"/>
  <c r="O278" i="4"/>
  <c r="Q278" i="4" s="1"/>
  <c r="R278" i="4" s="1"/>
  <c r="O349" i="4"/>
  <c r="Q349" i="4" s="1"/>
  <c r="R349" i="4" s="1"/>
  <c r="O227" i="4"/>
  <c r="Q227" i="4" s="1"/>
  <c r="R227" i="4" s="1"/>
  <c r="O76" i="4"/>
  <c r="Q76" i="4" s="1"/>
  <c r="R76" i="4" s="1"/>
  <c r="O53" i="4"/>
  <c r="Q53" i="4" s="1"/>
  <c r="R53" i="4" s="1"/>
  <c r="O301" i="4"/>
  <c r="Q301" i="4" s="1"/>
  <c r="R301" i="4" s="1"/>
  <c r="O223" i="4"/>
  <c r="Q223" i="4" s="1"/>
  <c r="R223" i="4" s="1"/>
  <c r="O95" i="4"/>
  <c r="Q95" i="4" s="1"/>
  <c r="R95" i="4" s="1"/>
  <c r="O174" i="4"/>
  <c r="Q174" i="4" s="1"/>
  <c r="R174" i="4" s="1"/>
  <c r="O135" i="4"/>
  <c r="Q135" i="4" s="1"/>
  <c r="R135" i="4" s="1"/>
  <c r="O83" i="4"/>
  <c r="Q83" i="4" s="1"/>
  <c r="R83" i="4" s="1"/>
  <c r="O49" i="4"/>
  <c r="Q49" i="4" s="1"/>
  <c r="R49" i="4" s="1"/>
  <c r="O319" i="4"/>
  <c r="Q319" i="4" s="1"/>
  <c r="R319" i="4" s="1"/>
  <c r="O243" i="4"/>
  <c r="Q243" i="4" s="1"/>
  <c r="R243" i="4" s="1"/>
  <c r="O138" i="4"/>
  <c r="Q138" i="4" s="1"/>
  <c r="R138" i="4" s="1"/>
  <c r="O312" i="4"/>
  <c r="Q312" i="4" s="1"/>
  <c r="R312" i="4" s="1"/>
  <c r="O41" i="4"/>
  <c r="Q41" i="4" s="1"/>
  <c r="R41" i="4" s="1"/>
  <c r="O234" i="4"/>
  <c r="Q234" i="4" s="1"/>
  <c r="R234" i="4" s="1"/>
  <c r="O210" i="4"/>
  <c r="Q210" i="4" s="1"/>
  <c r="R210" i="4" s="1"/>
  <c r="O56" i="4"/>
  <c r="Q56" i="4" s="1"/>
  <c r="R56" i="4" s="1"/>
  <c r="O256" i="4"/>
  <c r="Q256" i="4" s="1"/>
  <c r="R256" i="4" s="1"/>
  <c r="O23" i="4"/>
  <c r="Q23" i="4" s="1"/>
  <c r="R23" i="4" s="1"/>
  <c r="O180" i="4"/>
  <c r="Q180" i="4" s="1"/>
  <c r="R180" i="4" s="1"/>
  <c r="O107" i="4"/>
  <c r="Q107" i="4" s="1"/>
  <c r="R107" i="4" s="1"/>
  <c r="O182" i="4"/>
  <c r="Q182" i="4" s="1"/>
  <c r="R182" i="4" s="1"/>
  <c r="O193" i="4"/>
  <c r="Q193" i="4" s="1"/>
  <c r="R193" i="4" s="1"/>
  <c r="O181" i="4"/>
  <c r="Q181" i="4" s="1"/>
  <c r="R181" i="4" s="1"/>
  <c r="O338" i="4"/>
  <c r="Q338" i="4" s="1"/>
  <c r="R338" i="4" s="1"/>
  <c r="O253" i="4"/>
  <c r="Q253" i="4" s="1"/>
  <c r="R253" i="4" s="1"/>
  <c r="O100" i="4"/>
  <c r="Q100" i="4" s="1"/>
  <c r="R100" i="4" s="1"/>
  <c r="O91" i="4"/>
  <c r="Q91" i="4" s="1"/>
  <c r="R91" i="4" s="1"/>
  <c r="O300" i="4"/>
  <c r="Q300" i="4" s="1"/>
  <c r="R300" i="4" s="1"/>
  <c r="O170" i="4"/>
  <c r="Q170" i="4" s="1"/>
  <c r="R170" i="4" s="1"/>
  <c r="O330" i="4"/>
  <c r="Q330" i="4" s="1"/>
  <c r="R330" i="4" s="1"/>
  <c r="O8" i="4"/>
  <c r="Q8" i="4" s="1"/>
  <c r="R8" i="4" s="1"/>
  <c r="O199" i="4"/>
  <c r="Q199" i="4" s="1"/>
  <c r="R199" i="4" s="1"/>
  <c r="O190" i="4"/>
  <c r="Q190" i="4" s="1"/>
  <c r="R190" i="4" s="1"/>
  <c r="O260" i="4"/>
  <c r="Q260" i="4" s="1"/>
  <c r="R260" i="4" s="1"/>
  <c r="O21" i="4"/>
  <c r="Q21" i="4" s="1"/>
  <c r="R21" i="4" s="1"/>
  <c r="O42" i="4"/>
  <c r="Q42" i="4" s="1"/>
  <c r="R42" i="4" s="1"/>
  <c r="O66" i="4"/>
  <c r="Q66" i="4" s="1"/>
  <c r="R66" i="4" s="1"/>
  <c r="O247" i="4"/>
  <c r="Q247" i="4" s="1"/>
  <c r="R247" i="4" s="1"/>
  <c r="O314" i="4"/>
  <c r="Q314" i="4" s="1"/>
  <c r="R314" i="4" s="1"/>
  <c r="O272" i="4"/>
  <c r="Q272" i="4" s="1"/>
  <c r="R272" i="4" s="1"/>
  <c r="O159" i="4"/>
  <c r="Q159" i="4" s="1"/>
  <c r="R159" i="4" s="1"/>
  <c r="O102" i="4"/>
  <c r="Q102" i="4" s="1"/>
  <c r="R102" i="4" s="1"/>
  <c r="O27" i="4"/>
  <c r="Q27" i="4" s="1"/>
  <c r="R27" i="4" s="1"/>
  <c r="O353" i="4"/>
  <c r="Q353" i="4" s="1"/>
  <c r="R353" i="4" s="1"/>
  <c r="O276" i="4"/>
  <c r="Q276" i="4" s="1"/>
  <c r="R276" i="4" s="1"/>
  <c r="O344" i="4"/>
  <c r="Q344" i="4" s="1"/>
  <c r="R344" i="4" s="1"/>
  <c r="O119" i="4"/>
  <c r="Q119" i="4" s="1"/>
  <c r="R119" i="4" s="1"/>
  <c r="O200" i="4"/>
  <c r="Q200" i="4" s="1"/>
  <c r="R200" i="4" s="1"/>
  <c r="O346" i="4"/>
  <c r="O3" i="4"/>
  <c r="O273" i="4"/>
  <c r="Q273" i="4" s="1"/>
  <c r="R273" i="4" s="1"/>
  <c r="O87" i="4"/>
  <c r="Q87" i="4" s="1"/>
  <c r="R87" i="4" s="1"/>
  <c r="O72" i="4"/>
  <c r="Q72" i="4" s="1"/>
  <c r="R72" i="4" s="1"/>
  <c r="O302" i="4"/>
  <c r="Q302" i="4" s="1"/>
  <c r="R302" i="4" s="1"/>
  <c r="O240" i="4"/>
  <c r="Q240" i="4" s="1"/>
  <c r="R240" i="4" s="1"/>
  <c r="O121" i="4"/>
  <c r="Q121" i="4" s="1"/>
  <c r="R121" i="4" s="1"/>
  <c r="O274" i="4"/>
  <c r="Q274" i="4" s="1"/>
  <c r="R274" i="4" s="1"/>
  <c r="O265" i="4"/>
  <c r="Q265" i="4" s="1"/>
  <c r="R265" i="4" s="1"/>
  <c r="O130" i="4"/>
  <c r="Q130" i="4" s="1"/>
  <c r="R130" i="4" s="1"/>
  <c r="O29" i="4"/>
  <c r="Q29" i="4" s="1"/>
  <c r="R29" i="4" s="1"/>
  <c r="O111" i="4"/>
  <c r="Q111" i="4" s="1"/>
  <c r="R111" i="4" s="1"/>
  <c r="O296" i="4"/>
  <c r="Q296" i="4" s="1"/>
  <c r="R296" i="4" s="1"/>
  <c r="O142" i="4"/>
  <c r="Q142" i="4" s="1"/>
  <c r="R142" i="4" s="1"/>
  <c r="O57" i="4"/>
  <c r="Q57" i="4" s="1"/>
  <c r="R57" i="4" s="1"/>
  <c r="O45" i="4"/>
  <c r="Q45" i="4" s="1"/>
  <c r="R45" i="4" s="1"/>
  <c r="O244" i="4"/>
  <c r="Q244" i="4" s="1"/>
  <c r="R244" i="4" s="1"/>
  <c r="O306" i="4"/>
  <c r="Q306" i="4" s="1"/>
  <c r="R306" i="4" s="1"/>
  <c r="O74" i="4"/>
  <c r="Q74" i="4" s="1"/>
  <c r="R74" i="4" s="1"/>
  <c r="O139" i="4"/>
  <c r="Q139" i="4" s="1"/>
  <c r="R139" i="4" s="1"/>
  <c r="O215" i="4"/>
  <c r="Q215" i="4" s="1"/>
  <c r="R215" i="4" s="1"/>
  <c r="O205" i="4"/>
  <c r="Q205" i="4" s="1"/>
  <c r="R205" i="4" s="1"/>
  <c r="O241" i="4"/>
  <c r="Q241" i="4" s="1"/>
  <c r="R241" i="4" s="1"/>
  <c r="O212" i="4"/>
  <c r="Q212" i="4" s="1"/>
  <c r="R212" i="4" s="1"/>
  <c r="O308" i="4"/>
  <c r="Q308" i="4" s="1"/>
  <c r="R308" i="4" s="1"/>
  <c r="O63" i="4"/>
  <c r="Q63" i="4" s="1"/>
  <c r="R63" i="4" s="1"/>
  <c r="O268" i="4"/>
  <c r="Q268" i="4" s="1"/>
  <c r="R268" i="4" s="1"/>
  <c r="O261" i="4"/>
  <c r="Q261" i="4" s="1"/>
  <c r="R261" i="4" s="1"/>
  <c r="O15" i="4"/>
  <c r="Q15" i="4" s="1"/>
  <c r="R15" i="4" s="1"/>
  <c r="O213" i="4"/>
  <c r="Q213" i="4" s="1"/>
  <c r="R213" i="4" s="1"/>
  <c r="O217" i="4"/>
  <c r="Q217" i="4" s="1"/>
  <c r="R217" i="4" s="1"/>
  <c r="O13" i="4"/>
  <c r="Q13" i="4" s="1"/>
  <c r="R13" i="4" s="1"/>
  <c r="O162" i="4"/>
  <c r="Q162" i="4" s="1"/>
  <c r="R162" i="4" s="1"/>
  <c r="O151" i="4"/>
  <c r="Q151" i="4" s="1"/>
  <c r="R151" i="4" s="1"/>
  <c r="O89" i="4"/>
  <c r="Q89" i="4" s="1"/>
  <c r="R89" i="4" s="1"/>
  <c r="O92" i="4"/>
  <c r="Q92" i="4" s="1"/>
  <c r="R92" i="4" s="1"/>
  <c r="O201" i="4"/>
  <c r="Q201" i="4" s="1"/>
  <c r="R201" i="4" s="1"/>
  <c r="O356" i="4"/>
  <c r="Q356" i="4" s="1"/>
  <c r="R356" i="4" s="1"/>
  <c r="O136" i="4"/>
  <c r="Q136" i="4" s="1"/>
  <c r="R136" i="4" s="1"/>
  <c r="O298" i="4"/>
  <c r="Q298" i="4" s="1"/>
  <c r="R298" i="4" s="1"/>
  <c r="O263" i="4"/>
  <c r="Q263" i="4" s="1"/>
  <c r="R263" i="4" s="1"/>
  <c r="O329" i="4"/>
  <c r="Q329" i="4" s="1"/>
  <c r="R329" i="4" s="1"/>
  <c r="O4" i="4"/>
  <c r="Q4" i="4" s="1"/>
  <c r="R4" i="4" s="1"/>
  <c r="O245" i="4"/>
  <c r="Q245" i="4" s="1"/>
  <c r="R245" i="4" s="1"/>
  <c r="O36" i="4"/>
  <c r="Q36" i="4" s="1"/>
  <c r="R36" i="4" s="1"/>
  <c r="O153" i="4"/>
  <c r="Q153" i="4" s="1"/>
  <c r="R153" i="4" s="1"/>
  <c r="O105" i="4"/>
  <c r="Q105" i="4" s="1"/>
  <c r="R105" i="4" s="1"/>
  <c r="O143" i="4"/>
  <c r="Q143" i="4" s="1"/>
  <c r="R143" i="4" s="1"/>
  <c r="O254" i="4"/>
  <c r="Q254" i="4" s="1"/>
  <c r="R254" i="4" s="1"/>
  <c r="O68" i="4"/>
  <c r="Q68" i="4" s="1"/>
  <c r="R68" i="4" s="1"/>
  <c r="O333" i="4"/>
  <c r="Q333" i="4" s="1"/>
  <c r="R333" i="4" s="1"/>
  <c r="O269" i="4"/>
  <c r="Q269" i="4" s="1"/>
  <c r="R269" i="4" s="1"/>
  <c r="O326" i="4"/>
  <c r="Q326" i="4" s="1"/>
  <c r="R326" i="4" s="1"/>
  <c r="O285" i="4"/>
  <c r="Q285" i="4" s="1"/>
  <c r="R285" i="4" s="1"/>
  <c r="O176" i="4"/>
  <c r="Q176" i="4" s="1"/>
  <c r="R176" i="4" s="1"/>
  <c r="O206" i="4"/>
  <c r="Q206" i="4" s="1"/>
  <c r="R206" i="4" s="1"/>
  <c r="O124" i="4"/>
  <c r="Q124" i="4" s="1"/>
  <c r="R124" i="4" s="1"/>
  <c r="O307" i="4"/>
  <c r="Q307" i="4" s="1"/>
  <c r="R307" i="4" s="1"/>
  <c r="O350" i="4"/>
  <c r="Q350" i="4" s="1"/>
  <c r="R350" i="4" s="1"/>
  <c r="O24" i="4"/>
  <c r="Q24" i="4" s="1"/>
  <c r="R24" i="4" s="1"/>
  <c r="O303" i="4"/>
  <c r="Q303" i="4" s="1"/>
  <c r="R303" i="4" s="1"/>
  <c r="O219" i="4"/>
  <c r="Q219" i="4" s="1"/>
  <c r="R219" i="4" s="1"/>
  <c r="O122" i="4"/>
  <c r="Q122" i="4" s="1"/>
  <c r="R122" i="4" s="1"/>
  <c r="O218" i="4"/>
  <c r="Q218" i="4" s="1"/>
  <c r="R218" i="4" s="1"/>
  <c r="O40" i="4"/>
  <c r="Q40" i="4" s="1"/>
  <c r="R40" i="4" s="1"/>
  <c r="O43" i="4"/>
  <c r="Q43" i="4" s="1"/>
  <c r="R43" i="4" s="1"/>
  <c r="O166" i="4"/>
  <c r="O235" i="4"/>
  <c r="Q235" i="4" s="1"/>
  <c r="R235" i="4" s="1"/>
  <c r="O286" i="4"/>
  <c r="Q286" i="4" s="1"/>
  <c r="R286" i="4" s="1"/>
  <c r="O88" i="4"/>
  <c r="Q88" i="4" s="1"/>
  <c r="R88" i="4" s="1"/>
  <c r="O93" i="4"/>
  <c r="Q93" i="4" s="1"/>
  <c r="R93" i="4" s="1"/>
  <c r="O323" i="4"/>
  <c r="Q323" i="4" s="1"/>
  <c r="R323" i="4" s="1"/>
  <c r="O73" i="4"/>
  <c r="Q73" i="4" s="1"/>
  <c r="R73" i="4" s="1"/>
  <c r="O90" i="4"/>
  <c r="Q90" i="4" s="1"/>
  <c r="R90" i="4" s="1"/>
  <c r="O33" i="4"/>
  <c r="Q33" i="4" s="1"/>
  <c r="R33" i="4" s="1"/>
  <c r="O317" i="4"/>
  <c r="Q317" i="4" s="1"/>
  <c r="R317" i="4" s="1"/>
  <c r="O116" i="4"/>
  <c r="Q116" i="4" s="1"/>
  <c r="R116" i="4" s="1"/>
  <c r="O160" i="4"/>
  <c r="Q160" i="4" s="1"/>
  <c r="R160" i="4" s="1"/>
  <c r="O103" i="4"/>
  <c r="Q103" i="4" s="1"/>
  <c r="R103" i="4" s="1"/>
  <c r="O128" i="4"/>
  <c r="Q128" i="4" s="1"/>
  <c r="R128" i="4" s="1"/>
  <c r="O262" i="4"/>
  <c r="Q262" i="4" s="1"/>
  <c r="R262" i="4" s="1"/>
  <c r="O246" i="4"/>
  <c r="Q246" i="4" s="1"/>
  <c r="R246" i="4" s="1"/>
  <c r="O275" i="4"/>
  <c r="Q275" i="4" s="1"/>
  <c r="R275" i="4" s="1"/>
  <c r="O117" i="4"/>
  <c r="Q117" i="4" s="1"/>
  <c r="R117" i="4" s="1"/>
  <c r="O152" i="4"/>
  <c r="Q152" i="4" s="1"/>
  <c r="R152" i="4" s="1"/>
  <c r="O114" i="4"/>
  <c r="Q114" i="4" s="1"/>
  <c r="R114" i="4" s="1"/>
  <c r="O183" i="4"/>
  <c r="Q183" i="4" s="1"/>
  <c r="R183" i="4" s="1"/>
  <c r="O108" i="4"/>
  <c r="Q108" i="4" s="1"/>
  <c r="R108" i="4" s="1"/>
  <c r="O104" i="4"/>
  <c r="O207" i="4"/>
  <c r="O220" i="4"/>
  <c r="O54" i="4"/>
  <c r="O101" i="4"/>
  <c r="O50" i="4"/>
  <c r="O197" i="4"/>
  <c r="O80" i="4"/>
  <c r="O187" i="4"/>
  <c r="O222" i="4"/>
  <c r="O216" i="4"/>
  <c r="O188" i="4"/>
  <c r="O231" i="4"/>
  <c r="O2" i="4"/>
  <c r="O324" i="4"/>
  <c r="O126" i="4"/>
  <c r="O315" i="4"/>
  <c r="O11" i="4"/>
  <c r="O84" i="4"/>
  <c r="O327" i="4"/>
  <c r="O109" i="4"/>
  <c r="O64" i="4"/>
  <c r="O351" i="4"/>
  <c r="O342" i="4"/>
  <c r="O184" i="4"/>
  <c r="O31" i="4"/>
  <c r="O144" i="4"/>
  <c r="O110" i="4"/>
  <c r="O145" i="4"/>
  <c r="O25" i="4"/>
  <c r="O249" i="4"/>
  <c r="O325" i="4"/>
  <c r="O198" i="4"/>
  <c r="O96" i="4"/>
  <c r="O305" i="4"/>
  <c r="O189" i="4"/>
  <c r="O16" i="4"/>
  <c r="O211" i="4"/>
  <c r="O81" i="4"/>
  <c r="O55" i="4"/>
  <c r="O248" i="4"/>
  <c r="O290" i="4"/>
  <c r="O242" i="4"/>
  <c r="O175" i="4"/>
  <c r="O146" i="4"/>
  <c r="O352" i="4"/>
  <c r="O279" i="4"/>
  <c r="O77" i="4"/>
  <c r="O354" i="4"/>
  <c r="O148" i="4"/>
  <c r="O9" i="4"/>
  <c r="O165" i="4"/>
  <c r="O12" i="4"/>
  <c r="O270" i="4"/>
  <c r="O163" i="4"/>
  <c r="O120" i="4"/>
  <c r="O277" i="4"/>
  <c r="O171" i="4"/>
  <c r="O336" i="4"/>
  <c r="O321" i="4"/>
  <c r="O318" i="4"/>
  <c r="O129" i="4"/>
  <c r="O203" i="4"/>
  <c r="O94" i="4"/>
  <c r="O177" i="4"/>
  <c r="O331" i="4"/>
  <c r="O61" i="4"/>
  <c r="O304" i="4"/>
  <c r="O208" i="4"/>
  <c r="O185" i="4"/>
  <c r="O118" i="4"/>
  <c r="O250" i="4"/>
  <c r="O337" i="4"/>
  <c r="O238" i="4"/>
  <c r="O78" i="4"/>
  <c r="O292" i="4"/>
  <c r="O178" i="4"/>
  <c r="O35" i="4"/>
  <c r="O97" i="4"/>
  <c r="O14" i="4"/>
  <c r="O7" i="4"/>
  <c r="O167" i="4"/>
  <c r="O355" i="4"/>
  <c r="O51" i="4"/>
  <c r="O255" i="4"/>
  <c r="M168" i="4"/>
  <c r="P168" i="4" s="1"/>
  <c r="M146" i="4"/>
  <c r="P146" i="4" s="1"/>
  <c r="M166" i="4"/>
  <c r="P166" i="4" s="1"/>
  <c r="M346" i="4"/>
  <c r="P346" i="4" s="1"/>
  <c r="M22" i="4"/>
  <c r="P22" i="4" s="1"/>
  <c r="Q166" i="4" l="1"/>
  <c r="R166" i="4" s="1"/>
  <c r="Q168" i="4"/>
  <c r="R168" i="4" s="1"/>
  <c r="Q224" i="4"/>
  <c r="R224" i="4" s="1"/>
  <c r="Q22" i="4"/>
  <c r="R22" i="4" s="1"/>
  <c r="Q346" i="4"/>
  <c r="R346" i="4" s="1"/>
  <c r="Q104" i="4"/>
  <c r="R104" i="4" s="1"/>
  <c r="Q207" i="4"/>
  <c r="R207" i="4" s="1"/>
  <c r="Q220" i="4"/>
  <c r="R220" i="4" s="1"/>
  <c r="Q54" i="4"/>
  <c r="R54" i="4" s="1"/>
  <c r="Q101" i="4"/>
  <c r="R101" i="4" s="1"/>
  <c r="Q50" i="4"/>
  <c r="R50" i="4" s="1"/>
  <c r="Q197" i="4"/>
  <c r="R197" i="4" s="1"/>
  <c r="Q80" i="4"/>
  <c r="R80" i="4" s="1"/>
  <c r="Q187" i="4"/>
  <c r="R187" i="4" s="1"/>
  <c r="Q222" i="4"/>
  <c r="R222" i="4" s="1"/>
  <c r="Q216" i="4"/>
  <c r="R216" i="4" s="1"/>
  <c r="Q188" i="4"/>
  <c r="R188" i="4" s="1"/>
  <c r="Q231" i="4"/>
  <c r="R231" i="4" s="1"/>
  <c r="Q2" i="4"/>
  <c r="Q324" i="4"/>
  <c r="R324" i="4" s="1"/>
  <c r="Q126" i="4"/>
  <c r="R126" i="4" s="1"/>
  <c r="Q315" i="4"/>
  <c r="R315" i="4" s="1"/>
  <c r="Q11" i="4"/>
  <c r="R11" i="4" s="1"/>
  <c r="Q84" i="4"/>
  <c r="R84" i="4" s="1"/>
  <c r="Q327" i="4"/>
  <c r="R327" i="4" s="1"/>
  <c r="Q109" i="4"/>
  <c r="R109" i="4" s="1"/>
  <c r="Q64" i="4"/>
  <c r="R64" i="4" s="1"/>
  <c r="Q351" i="4"/>
  <c r="R351" i="4" s="1"/>
  <c r="Q342" i="4"/>
  <c r="R342" i="4" s="1"/>
  <c r="Q184" i="4"/>
  <c r="R184" i="4" s="1"/>
  <c r="Q31" i="4"/>
  <c r="R31" i="4" s="1"/>
  <c r="Q144" i="4"/>
  <c r="R144" i="4" s="1"/>
  <c r="Q110" i="4"/>
  <c r="R110" i="4" s="1"/>
  <c r="Q145" i="4"/>
  <c r="R145" i="4" s="1"/>
  <c r="Q25" i="4"/>
  <c r="R25" i="4" s="1"/>
  <c r="Q249" i="4"/>
  <c r="R249" i="4" s="1"/>
  <c r="Q325" i="4"/>
  <c r="R325" i="4" s="1"/>
  <c r="Q198" i="4"/>
  <c r="R198" i="4" s="1"/>
  <c r="Q96" i="4"/>
  <c r="R96" i="4" s="1"/>
  <c r="Q305" i="4"/>
  <c r="R305" i="4" s="1"/>
  <c r="Q189" i="4"/>
  <c r="R189" i="4" s="1"/>
  <c r="Q16" i="4"/>
  <c r="R16" i="4" s="1"/>
  <c r="Q211" i="4"/>
  <c r="R211" i="4" s="1"/>
  <c r="Q81" i="4"/>
  <c r="R81" i="4" s="1"/>
  <c r="Q55" i="4"/>
  <c r="R55" i="4" s="1"/>
  <c r="Q248" i="4"/>
  <c r="R248" i="4" s="1"/>
  <c r="Q290" i="4"/>
  <c r="R290" i="4" s="1"/>
  <c r="Q242" i="4"/>
  <c r="R242" i="4" s="1"/>
  <c r="Q175" i="4"/>
  <c r="R175" i="4" s="1"/>
  <c r="Q146" i="4"/>
  <c r="R146" i="4" s="1"/>
  <c r="Q352" i="4"/>
  <c r="R352" i="4" s="1"/>
  <c r="Q279" i="4"/>
  <c r="R279" i="4" s="1"/>
  <c r="Q77" i="4"/>
  <c r="R77" i="4" s="1"/>
  <c r="Q354" i="4"/>
  <c r="R354" i="4" s="1"/>
  <c r="Q148" i="4"/>
  <c r="R148" i="4" s="1"/>
  <c r="Q9" i="4"/>
  <c r="R9" i="4" s="1"/>
  <c r="Q165" i="4"/>
  <c r="R165" i="4" s="1"/>
  <c r="Q12" i="4"/>
  <c r="R12" i="4" s="1"/>
  <c r="Q270" i="4"/>
  <c r="R270" i="4" s="1"/>
  <c r="Q163" i="4"/>
  <c r="R163" i="4" s="1"/>
  <c r="Q120" i="4"/>
  <c r="R120" i="4" s="1"/>
  <c r="Q277" i="4"/>
  <c r="R277" i="4" s="1"/>
  <c r="Q171" i="4"/>
  <c r="R171" i="4" s="1"/>
  <c r="Q336" i="4"/>
  <c r="R336" i="4" s="1"/>
  <c r="Q321" i="4"/>
  <c r="R321" i="4" s="1"/>
  <c r="Q318" i="4"/>
  <c r="R318" i="4" s="1"/>
  <c r="Q129" i="4"/>
  <c r="R129" i="4" s="1"/>
  <c r="Q203" i="4"/>
  <c r="R203" i="4" s="1"/>
  <c r="Q94" i="4"/>
  <c r="R94" i="4" s="1"/>
  <c r="Q177" i="4"/>
  <c r="R177" i="4" s="1"/>
  <c r="Q331" i="4"/>
  <c r="R331" i="4" s="1"/>
  <c r="Q61" i="4"/>
  <c r="R61" i="4" s="1"/>
  <c r="Q304" i="4"/>
  <c r="R304" i="4" s="1"/>
  <c r="Q208" i="4"/>
  <c r="R208" i="4" s="1"/>
  <c r="Q185" i="4"/>
  <c r="R185" i="4" s="1"/>
  <c r="Q118" i="4"/>
  <c r="R118" i="4" s="1"/>
  <c r="Q250" i="4"/>
  <c r="R250" i="4" s="1"/>
  <c r="Q337" i="4"/>
  <c r="R337" i="4" s="1"/>
  <c r="Q238" i="4"/>
  <c r="R238" i="4" s="1"/>
  <c r="Q78" i="4"/>
  <c r="R78" i="4" s="1"/>
  <c r="Q292" i="4"/>
  <c r="R292" i="4" s="1"/>
  <c r="Q178" i="4"/>
  <c r="R178" i="4" s="1"/>
  <c r="Q35" i="4"/>
  <c r="R35" i="4" s="1"/>
  <c r="Q97" i="4"/>
  <c r="R97" i="4" s="1"/>
  <c r="Q14" i="4"/>
  <c r="R14" i="4" s="1"/>
  <c r="Q7" i="4"/>
  <c r="R7" i="4" s="1"/>
  <c r="Q167" i="4"/>
  <c r="R167" i="4" s="1"/>
  <c r="Q355" i="4"/>
  <c r="R355" i="4" s="1"/>
  <c r="Q51" i="4"/>
  <c r="R51" i="4" s="1"/>
  <c r="Q255" i="4"/>
  <c r="R255" i="4" s="1"/>
  <c r="Q3" i="4"/>
  <c r="R3" i="4" s="1"/>
  <c r="B1" i="9"/>
  <c r="R2" i="4" l="1"/>
  <c r="B2" i="9"/>
  <c r="B3" i="9" s="1"/>
</calcChain>
</file>

<file path=xl/sharedStrings.xml><?xml version="1.0" encoding="utf-8"?>
<sst xmlns="http://schemas.openxmlformats.org/spreadsheetml/2006/main" count="6886" uniqueCount="614">
  <si>
    <t>EXCEL FUNDAMENTALS MINI PROJECT</t>
  </si>
  <si>
    <t>Northbridge Retail — fictional UK business</t>
  </si>
  <si>
    <t>Your role</t>
  </si>
  <si>
    <t>Junior Data Analyst</t>
  </si>
  <si>
    <t>Manager request</t>
  </si>
  <si>
    <t>Clean our sales export, assess performance, and explain what management should do next.</t>
  </si>
  <si>
    <t>Period</t>
  </si>
  <si>
    <t>January–June 2026. All names, customers and transactions are fictional.</t>
  </si>
  <si>
    <t>First instruction</t>
  </si>
  <si>
    <t>Do not analyse or clean yet. Inspect Raw Sales and report the data-quality problems you identify, with examples.</t>
  </si>
  <si>
    <t>Final deliverables</t>
  </si>
  <si>
    <t>A preserved raw export, cleaned dataset, documented cleaning decisions, analysis, PivotTables, charts and a small management dashboard.</t>
  </si>
  <si>
    <t>Business questions</t>
  </si>
  <si>
    <t>How have revenue and gross profit changed over time? Which products, categories and regions perform well? What do customer types and salespeople reveal?</t>
  </si>
  <si>
    <t>Business reasoning</t>
  </si>
  <si>
    <t>Write 3–5 findings supported by numbers and 2 practical recommendations. Explain any limitations.</t>
  </si>
  <si>
    <t>Independence</t>
  </si>
  <si>
    <t>Choose your own formulas, PivotTables and charts. Notes and previous examples are allowed. No Power Query, macros or advanced techniques are required.</t>
  </si>
  <si>
    <t>Financial definitions</t>
  </si>
  <si>
    <t>Revenue = quantity × selling price × (1 − discount rate). Product cost = quantity × unit cost. Gross profit = revenue − product cost. Gross margin = gross profit ÷ revenue.</t>
  </si>
  <si>
    <t>Scope</t>
  </si>
  <si>
    <t>Prices exclude VAT. Ignore delivery charges, tax and overheads. This project measures gross profit, not net profit.</t>
  </si>
  <si>
    <t>Transaction grain</t>
  </si>
  <si>
    <t>One row represents one order containing one product. Order ID should identify one transaction. Every record represents a completed sale.</t>
  </si>
  <si>
    <t>References</t>
  </si>
  <si>
    <t>Product Reference holds standard product names, categories and unit costs. Selling prices can legitimately vary by transaction. Customer Reference gives customer names and types.</t>
  </si>
  <si>
    <t>Missing information</t>
  </si>
  <si>
    <t>Recover values only when supported by the reference sheets or transaction evidence. Otherwise document your treatment; do not guess.</t>
  </si>
  <si>
    <t>Assessment</t>
  </si>
  <si>
    <t>Data cleaning, formula accuracy, PivotTables, chart choice, presentation, analysis and business reasoning. No worked answers are included.</t>
  </si>
  <si>
    <t>Product ID</t>
  </si>
  <si>
    <t>Product</t>
  </si>
  <si>
    <t>Category</t>
  </si>
  <si>
    <t>Standard Unit Cost</t>
  </si>
  <si>
    <t>P01</t>
  </si>
  <si>
    <t>Laptop</t>
  </si>
  <si>
    <t>Computers</t>
  </si>
  <si>
    <t>P02</t>
  </si>
  <si>
    <t>Monitor</t>
  </si>
  <si>
    <t>P03</t>
  </si>
  <si>
    <t>Tablet</t>
  </si>
  <si>
    <t>P04</t>
  </si>
  <si>
    <t>Keyboard</t>
  </si>
  <si>
    <t>Accessories</t>
  </si>
  <si>
    <t>P05</t>
  </si>
  <si>
    <t>Mouse</t>
  </si>
  <si>
    <t>P06</t>
  </si>
  <si>
    <t>Headphones</t>
  </si>
  <si>
    <t>P07</t>
  </si>
  <si>
    <t>Desk</t>
  </si>
  <si>
    <t>Furniture</t>
  </si>
  <si>
    <t>P08</t>
  </si>
  <si>
    <t>Office Chair</t>
  </si>
  <si>
    <t>Customer ID</t>
  </si>
  <si>
    <t>Customer Name</t>
  </si>
  <si>
    <t>Customer Type</t>
  </si>
  <si>
    <t>C001</t>
  </si>
  <si>
    <t>River Customer 01</t>
  </si>
  <si>
    <t>B2C</t>
  </si>
  <si>
    <t>C002</t>
  </si>
  <si>
    <t>Cedar Customer 02</t>
  </si>
  <si>
    <t>C003</t>
  </si>
  <si>
    <t>Hill Customer 03</t>
  </si>
  <si>
    <t>B2B</t>
  </si>
  <si>
    <t>C004</t>
  </si>
  <si>
    <t>Park Customer 04</t>
  </si>
  <si>
    <t>C005</t>
  </si>
  <si>
    <t>Maple Customer 05</t>
  </si>
  <si>
    <t>C006</t>
  </si>
  <si>
    <t>Oak Customer 06</t>
  </si>
  <si>
    <t>C007</t>
  </si>
  <si>
    <t>River Customer 07</t>
  </si>
  <si>
    <t>C008</t>
  </si>
  <si>
    <t>Cedar Customer 08</t>
  </si>
  <si>
    <t>C009</t>
  </si>
  <si>
    <t>Hill Customer 09</t>
  </si>
  <si>
    <t>C010</t>
  </si>
  <si>
    <t>Park Customer 10</t>
  </si>
  <si>
    <t>C011</t>
  </si>
  <si>
    <t>Maple Customer 11</t>
  </si>
  <si>
    <t>C012</t>
  </si>
  <si>
    <t>Oak Customer 12</t>
  </si>
  <si>
    <t>C013</t>
  </si>
  <si>
    <t>River Customer 13</t>
  </si>
  <si>
    <t>C014</t>
  </si>
  <si>
    <t>Cedar Customer 14</t>
  </si>
  <si>
    <t>C015</t>
  </si>
  <si>
    <t>Hill Customer 15</t>
  </si>
  <si>
    <t>C016</t>
  </si>
  <si>
    <t>Park Customer 16</t>
  </si>
  <si>
    <t>C017</t>
  </si>
  <si>
    <t>Maple Customer 17</t>
  </si>
  <si>
    <t>C018</t>
  </si>
  <si>
    <t>Oak Customer 18</t>
  </si>
  <si>
    <t>C019</t>
  </si>
  <si>
    <t>River Customer 19</t>
  </si>
  <si>
    <t>C020</t>
  </si>
  <si>
    <t>Cedar Customer 20</t>
  </si>
  <si>
    <t>C021</t>
  </si>
  <si>
    <t>Hill Customer 21</t>
  </si>
  <si>
    <t>C022</t>
  </si>
  <si>
    <t>Park Customer 22</t>
  </si>
  <si>
    <t>C023</t>
  </si>
  <si>
    <t>Maple Customer 23</t>
  </si>
  <si>
    <t>C024</t>
  </si>
  <si>
    <t>Oak Customer 24</t>
  </si>
  <si>
    <t>C025</t>
  </si>
  <si>
    <t>River Customer 25</t>
  </si>
  <si>
    <t>C026</t>
  </si>
  <si>
    <t>Cedar Customer 26</t>
  </si>
  <si>
    <t>C027</t>
  </si>
  <si>
    <t>Hill Customer 27</t>
  </si>
  <si>
    <t>C028</t>
  </si>
  <si>
    <t>Park Customer 28</t>
  </si>
  <si>
    <t>C029</t>
  </si>
  <si>
    <t>Maple Customer 29</t>
  </si>
  <si>
    <t>C030</t>
  </si>
  <si>
    <t>Oak Customer 30</t>
  </si>
  <si>
    <t>C031</t>
  </si>
  <si>
    <t>River Customer 31</t>
  </si>
  <si>
    <t>C032</t>
  </si>
  <si>
    <t>Cedar Customer 32</t>
  </si>
  <si>
    <t>C033</t>
  </si>
  <si>
    <t>Hill Customer 33</t>
  </si>
  <si>
    <t>C034</t>
  </si>
  <si>
    <t>Park Customer 34</t>
  </si>
  <si>
    <t>C035</t>
  </si>
  <si>
    <t>Maple Customer 35</t>
  </si>
  <si>
    <t>C036</t>
  </si>
  <si>
    <t>Oak Customer 36</t>
  </si>
  <si>
    <t>C037</t>
  </si>
  <si>
    <t>River Customer 37</t>
  </si>
  <si>
    <t>C038</t>
  </si>
  <si>
    <t>Cedar Customer 38</t>
  </si>
  <si>
    <t>C039</t>
  </si>
  <si>
    <t>Hill Customer 39</t>
  </si>
  <si>
    <t>C040</t>
  </si>
  <si>
    <t>Park Customer 40</t>
  </si>
  <si>
    <t>Row Labels</t>
  </si>
  <si>
    <t>Sum of Revenue</t>
  </si>
  <si>
    <t>Sum of Gross Profit</t>
  </si>
  <si>
    <t>Gross Margin</t>
  </si>
  <si>
    <t>Jan</t>
  </si>
  <si>
    <t>Feb</t>
  </si>
  <si>
    <t>Mar</t>
  </si>
  <si>
    <t>Apr</t>
  </si>
  <si>
    <t>May</t>
  </si>
  <si>
    <t>Jun</t>
  </si>
  <si>
    <t>Grand Total</t>
  </si>
  <si>
    <t>Count of Order ID</t>
  </si>
  <si>
    <t>Aisha Khan</t>
  </si>
  <si>
    <t>Chloe Evans</t>
  </si>
  <si>
    <t>Daniel Reed</t>
  </si>
  <si>
    <t>Ben Clarke</t>
  </si>
  <si>
    <t>Unknown</t>
  </si>
  <si>
    <t>Sales Performance Dashboard</t>
  </si>
  <si>
    <t xml:space="preserve">January - June 2026 . UK retail . 358 cleaned order </t>
  </si>
  <si>
    <t>Total Revenue</t>
  </si>
  <si>
    <t>Gross Profit</t>
  </si>
  <si>
    <t>Orders</t>
  </si>
  <si>
    <t>Order ID</t>
  </si>
  <si>
    <t>Order Date</t>
  </si>
  <si>
    <t>Region</t>
  </si>
  <si>
    <t>Salesperson</t>
  </si>
  <si>
    <t>Quantity</t>
  </si>
  <si>
    <t>Unit Price</t>
  </si>
  <si>
    <t>Unit Cost</t>
  </si>
  <si>
    <t>Discount Rate</t>
  </si>
  <si>
    <t>Revenue</t>
  </si>
  <si>
    <t>Product cost</t>
  </si>
  <si>
    <t>NB10288</t>
  </si>
  <si>
    <t>London</t>
  </si>
  <si>
    <t>NB10187</t>
  </si>
  <si>
    <t>North West</t>
  </si>
  <si>
    <t>NB10229</t>
  </si>
  <si>
    <t>Midlands</t>
  </si>
  <si>
    <t>NB10095</t>
  </si>
  <si>
    <t>NB10008</t>
  </si>
  <si>
    <t>South East</t>
  </si>
  <si>
    <t>NB10356</t>
  </si>
  <si>
    <t>NB10168</t>
  </si>
  <si>
    <t>NB10326</t>
  </si>
  <si>
    <t>NB10045</t>
  </si>
  <si>
    <t>NB10292</t>
  </si>
  <si>
    <t>NB10328</t>
  </si>
  <si>
    <t>NB10218</t>
  </si>
  <si>
    <t>NB10355</t>
  </si>
  <si>
    <t>NB10215</t>
  </si>
  <si>
    <t>NB10312</t>
  </si>
  <si>
    <t>NB10025</t>
  </si>
  <si>
    <t>NB10100</t>
  </si>
  <si>
    <t>NB10050</t>
  </si>
  <si>
    <t>NB10054</t>
  </si>
  <si>
    <t>NB10172</t>
  </si>
  <si>
    <t>NB10119</t>
  </si>
  <si>
    <t>NB10155</t>
  </si>
  <si>
    <t>NB10246</t>
  </si>
  <si>
    <t>NB10305</t>
  </si>
  <si>
    <t>NB10028</t>
  </si>
  <si>
    <t>NB10180</t>
  </si>
  <si>
    <t>NB10044</t>
  </si>
  <si>
    <t>NB10197</t>
  </si>
  <si>
    <t>NB10048</t>
  </si>
  <si>
    <t>NB10301</t>
  </si>
  <si>
    <t>NB10127</t>
  </si>
  <si>
    <t>NB10261</t>
  </si>
  <si>
    <t>NB10036</t>
  </si>
  <si>
    <t>NB10353</t>
  </si>
  <si>
    <t>NB10231</t>
  </si>
  <si>
    <t>NB10071</t>
  </si>
  <si>
    <t>NB10015</t>
  </si>
  <si>
    <t>NB10017</t>
  </si>
  <si>
    <t>NB10251</t>
  </si>
  <si>
    <t>NB10150</t>
  </si>
  <si>
    <t>NB10173</t>
  </si>
  <si>
    <t>NB10252</t>
  </si>
  <si>
    <t>NB10121</t>
  </si>
  <si>
    <t>NB10202</t>
  </si>
  <si>
    <t>NB10001</t>
  </si>
  <si>
    <t>NB10006</t>
  </si>
  <si>
    <t>NB10088</t>
  </si>
  <si>
    <t>NB10144</t>
  </si>
  <si>
    <t>NB10280</t>
  </si>
  <si>
    <t>NB10359</t>
  </si>
  <si>
    <t>NB10103</t>
  </si>
  <si>
    <t>NB10137</t>
  </si>
  <si>
    <t>NB10278</t>
  </si>
  <si>
    <t>NB10315</t>
  </si>
  <si>
    <t>NB10153</t>
  </si>
  <si>
    <t>NB10201</t>
  </si>
  <si>
    <t>NB10005</t>
  </si>
  <si>
    <t>NB10012</t>
  </si>
  <si>
    <t>NB10081</t>
  </si>
  <si>
    <t>NB10342</t>
  </si>
  <si>
    <t>NB10111</t>
  </si>
  <si>
    <t>NB10212</t>
  </si>
  <si>
    <t>NB10296</t>
  </si>
  <si>
    <t>NB10113</t>
  </si>
  <si>
    <t>NB10174</t>
  </si>
  <si>
    <t>NB10031</t>
  </si>
  <si>
    <t>NB10236</t>
  </si>
  <si>
    <t>NB10056</t>
  </si>
  <si>
    <t>NB10117</t>
  </si>
  <si>
    <t>NB10120</t>
  </si>
  <si>
    <t>NB10190</t>
  </si>
  <si>
    <t>NB10259</t>
  </si>
  <si>
    <t>NB10205</t>
  </si>
  <si>
    <t>NB10098</t>
  </si>
  <si>
    <t>NB10136</t>
  </si>
  <si>
    <t>NB10323</t>
  </si>
  <si>
    <t>NB10350</t>
  </si>
  <si>
    <t>NB10035</t>
  </si>
  <si>
    <t>NB10282</t>
  </si>
  <si>
    <t>NB10314</t>
  </si>
  <si>
    <t>NB10019</t>
  </si>
  <si>
    <t>NB10143</t>
  </si>
  <si>
    <t>NB10293</t>
  </si>
  <si>
    <t>NB10016</t>
  </si>
  <si>
    <t>NB10112</t>
  </si>
  <si>
    <t>NB10189</t>
  </si>
  <si>
    <t>NB10256</t>
  </si>
  <si>
    <t>NB10221</t>
  </si>
  <si>
    <t>NB10260</t>
  </si>
  <si>
    <t>NB10164</t>
  </si>
  <si>
    <t>NB10222</t>
  </si>
  <si>
    <t>NB10257</t>
  </si>
  <si>
    <t>NB10339</t>
  </si>
  <si>
    <t>NB10140</t>
  </si>
  <si>
    <t>NB10309</t>
  </si>
  <si>
    <t>NB10354</t>
  </si>
  <si>
    <t>NB10086</t>
  </si>
  <si>
    <t>NB10087</t>
  </si>
  <si>
    <t>NB10163</t>
  </si>
  <si>
    <t>NB10279</t>
  </si>
  <si>
    <t>NB10179</t>
  </si>
  <si>
    <t>NB10265</t>
  </si>
  <si>
    <t>NB10275</t>
  </si>
  <si>
    <t>NB10233</t>
  </si>
  <si>
    <t>NB10118</t>
  </si>
  <si>
    <t>NB10157</t>
  </si>
  <si>
    <t>NB10274</t>
  </si>
  <si>
    <t>NB10295</t>
  </si>
  <si>
    <t>NB10303</t>
  </si>
  <si>
    <t>NB10198</t>
  </si>
  <si>
    <t>NB10018</t>
  </si>
  <si>
    <t>NB10063</t>
  </si>
  <si>
    <t>NB10272</t>
  </si>
  <si>
    <t>NB10099</t>
  </si>
  <si>
    <t>NB10263</t>
  </si>
  <si>
    <t>NB10270</t>
  </si>
  <si>
    <t>NB10346</t>
  </si>
  <si>
    <t>NB10184</t>
  </si>
  <si>
    <t>NB10331</t>
  </si>
  <si>
    <t>NB10193</t>
  </si>
  <si>
    <t>NB10249</t>
  </si>
  <si>
    <t>NB10090</t>
  </si>
  <si>
    <t>NB10243</t>
  </si>
  <si>
    <t>NB10076</t>
  </si>
  <si>
    <t>NB10290</t>
  </si>
  <si>
    <t>NB10123</t>
  </si>
  <si>
    <t>NB10266</t>
  </si>
  <si>
    <t>NB10337</t>
  </si>
  <si>
    <t>NB10196</t>
  </si>
  <si>
    <t>NB10116</t>
  </si>
  <si>
    <t>NB10013</t>
  </si>
  <si>
    <t>NB10078</t>
  </si>
  <si>
    <t>NB10083</t>
  </si>
  <si>
    <t>NB10142</t>
  </si>
  <si>
    <t>NB10225</t>
  </si>
  <si>
    <t>NB10027</t>
  </si>
  <si>
    <t>NB10148</t>
  </si>
  <si>
    <t>NB10206</t>
  </si>
  <si>
    <t>NB10033</t>
  </si>
  <si>
    <t>NB10108</t>
  </si>
  <si>
    <t>NB10200</t>
  </si>
  <si>
    <t>NB10234</t>
  </si>
  <si>
    <t>NB10302</t>
  </si>
  <si>
    <t>NB10304</t>
  </si>
  <si>
    <t>NB10320</t>
  </si>
  <si>
    <t>NB10130</t>
  </si>
  <si>
    <t>NB10325</t>
  </si>
  <si>
    <t>NB10010</t>
  </si>
  <si>
    <t>NB10041</t>
  </si>
  <si>
    <t>NB10220</t>
  </si>
  <si>
    <t>NB10271</t>
  </si>
  <si>
    <t>NB10232</t>
  </si>
  <si>
    <t>NB10106</t>
  </si>
  <si>
    <t>NB10057</t>
  </si>
  <si>
    <t>NB10020</t>
  </si>
  <si>
    <t>NB10037</t>
  </si>
  <si>
    <t>NB10074</t>
  </si>
  <si>
    <t>NB10178</t>
  </si>
  <si>
    <t>NB10264</t>
  </si>
  <si>
    <t>NB10043</t>
  </si>
  <si>
    <t>NB10219</t>
  </si>
  <si>
    <t>NB10330</t>
  </si>
  <si>
    <t>NB10104</t>
  </si>
  <si>
    <t>NB10327</t>
  </si>
  <si>
    <t>NB10253</t>
  </si>
  <si>
    <t>NB10357</t>
  </si>
  <si>
    <t>NB10052</t>
  </si>
  <si>
    <t>NB10075</t>
  </si>
  <si>
    <t>NB10166</t>
  </si>
  <si>
    <t>NB10333</t>
  </si>
  <si>
    <t>NB10060</t>
  </si>
  <si>
    <t>NB10039</t>
  </si>
  <si>
    <t>NB10141</t>
  </si>
  <si>
    <t>NB10319</t>
  </si>
  <si>
    <t>NB10241</t>
  </si>
  <si>
    <t>NB10340</t>
  </si>
  <si>
    <t>NB10352</t>
  </si>
  <si>
    <t>NB10129</t>
  </si>
  <si>
    <t>NB10156</t>
  </si>
  <si>
    <t>NB10160</t>
  </si>
  <si>
    <t>NB10158</t>
  </si>
  <si>
    <t>NB10273</t>
  </si>
  <si>
    <t>NB10300</t>
  </si>
  <si>
    <t>NB10345</t>
  </si>
  <si>
    <t>NB10070</t>
  </si>
  <si>
    <t>NB10283</t>
  </si>
  <si>
    <t>NB10286</t>
  </si>
  <si>
    <t>NB10311</t>
  </si>
  <si>
    <t>NB10170</t>
  </si>
  <si>
    <t>NB10089</t>
  </si>
  <si>
    <t>NB10004</t>
  </si>
  <si>
    <t>NB10159</t>
  </si>
  <si>
    <t>NB10055</t>
  </si>
  <si>
    <t>NB10022</t>
  </si>
  <si>
    <t>NB10093</t>
  </si>
  <si>
    <t>NB10281</t>
  </si>
  <si>
    <t>NB10308</t>
  </si>
  <si>
    <t>NB10169</t>
  </si>
  <si>
    <t>NB10185</t>
  </si>
  <si>
    <t>NB10223</t>
  </si>
  <si>
    <t>NB10122</t>
  </si>
  <si>
    <t>NB10338</t>
  </si>
  <si>
    <t>NB10026</t>
  </si>
  <si>
    <t>NB10208</t>
  </si>
  <si>
    <t>NB10242</t>
  </si>
  <si>
    <t>NB10276</t>
  </si>
  <si>
    <t>NB10344</t>
  </si>
  <si>
    <t>NB10032</t>
  </si>
  <si>
    <t>NB10152</t>
  </si>
  <si>
    <t>NB10313</t>
  </si>
  <si>
    <t>NB10210</t>
  </si>
  <si>
    <t>NB10216</t>
  </si>
  <si>
    <t>NB10115</t>
  </si>
  <si>
    <t>NB10207</t>
  </si>
  <si>
    <t>NB10285</t>
  </si>
  <si>
    <t>NB10217</t>
  </si>
  <si>
    <t>NB10250</t>
  </si>
  <si>
    <t>NB10248</t>
  </si>
  <si>
    <t>NB10277</t>
  </si>
  <si>
    <t>NB10029</t>
  </si>
  <si>
    <t>NB10284</t>
  </si>
  <si>
    <t>NB10139</t>
  </si>
  <si>
    <t>NB10094</t>
  </si>
  <si>
    <t>NB10126</t>
  </si>
  <si>
    <t>NB10051</t>
  </si>
  <si>
    <t>NB10135</t>
  </si>
  <si>
    <t>NB10101</t>
  </si>
  <si>
    <t>NB10030</t>
  </si>
  <si>
    <t>NB10058</t>
  </si>
  <si>
    <t>NB10287</t>
  </si>
  <si>
    <t>NB10061</t>
  </si>
  <si>
    <t>NB10124</t>
  </si>
  <si>
    <t>NB10151</t>
  </si>
  <si>
    <t>NB10254</t>
  </si>
  <si>
    <t>NB10096</t>
  </si>
  <si>
    <t>NB10107</t>
  </si>
  <si>
    <t>NB10349</t>
  </si>
  <si>
    <t>NB10077</t>
  </si>
  <si>
    <t>NB10192</t>
  </si>
  <si>
    <t>NB10209</t>
  </si>
  <si>
    <t>NB10318</t>
  </si>
  <si>
    <t>NB10147</t>
  </si>
  <si>
    <t>NB10203</t>
  </si>
  <si>
    <t>NB10230</t>
  </si>
  <si>
    <t>NB10268</t>
  </si>
  <si>
    <t>NB10175</t>
  </si>
  <si>
    <t>NB10316</t>
  </si>
  <si>
    <t>NB10306</t>
  </si>
  <si>
    <t>NB10347</t>
  </si>
  <si>
    <t>NB10003</t>
  </si>
  <si>
    <t>NB10065</t>
  </si>
  <si>
    <t>NB10162</t>
  </si>
  <si>
    <t>NB10235</t>
  </si>
  <si>
    <t>NB10360</t>
  </si>
  <si>
    <t>NB10154</t>
  </si>
  <si>
    <t>NB10038</t>
  </si>
  <si>
    <t>NB10082</t>
  </si>
  <si>
    <t>NB10109</t>
  </si>
  <si>
    <t>NB10171</t>
  </si>
  <si>
    <t>NB10214</t>
  </si>
  <si>
    <t>NB10267</t>
  </si>
  <si>
    <t>NB10227</t>
  </si>
  <si>
    <t>NB10128</t>
  </si>
  <si>
    <t>NB10195</t>
  </si>
  <si>
    <t>NB10125</t>
  </si>
  <si>
    <t>NB10132</t>
  </si>
  <si>
    <t>NB10213</t>
  </si>
  <si>
    <t>NB10238</t>
  </si>
  <si>
    <t>NB10329</t>
  </si>
  <si>
    <t>NB10067</t>
  </si>
  <si>
    <t>NB10177</t>
  </si>
  <si>
    <t>NB10188</t>
  </si>
  <si>
    <t>NB10194</t>
  </si>
  <si>
    <t>NB10269</t>
  </si>
  <si>
    <t>NB10182</t>
  </si>
  <si>
    <t>NB10332</t>
  </si>
  <si>
    <t>NB10133</t>
  </si>
  <si>
    <t>NB10322</t>
  </si>
  <si>
    <t>NB10011</t>
  </si>
  <si>
    <t>NB10014</t>
  </si>
  <si>
    <t>NB10097</t>
  </si>
  <si>
    <t>NB10042</t>
  </si>
  <si>
    <t>NB10110</t>
  </si>
  <si>
    <t>NB10240</t>
  </si>
  <si>
    <t>NB10255</t>
  </si>
  <si>
    <t>NB10007</t>
  </si>
  <si>
    <t>NB10049</t>
  </si>
  <si>
    <t>NB10131</t>
  </si>
  <si>
    <t>NB10317</t>
  </si>
  <si>
    <t>NB10064</t>
  </si>
  <si>
    <t>NB10351</t>
  </si>
  <si>
    <t>NB10068</t>
  </si>
  <si>
    <t>NB10046</t>
  </si>
  <si>
    <t>NB10066</t>
  </si>
  <si>
    <t>NB10199</t>
  </si>
  <si>
    <t>NB10084</t>
  </si>
  <si>
    <t>NB10226</t>
  </si>
  <si>
    <t>NB10040</t>
  </si>
  <si>
    <t>NB10165</t>
  </si>
  <si>
    <t>NB10138</t>
  </si>
  <si>
    <t>NB10191</t>
  </si>
  <si>
    <t>NB10247</t>
  </si>
  <si>
    <t>NB10343</t>
  </si>
  <si>
    <t>NB10310</t>
  </si>
  <si>
    <t>NB10204</t>
  </si>
  <si>
    <t>NB10244</t>
  </si>
  <si>
    <t>NB10211</t>
  </si>
  <si>
    <t>NB10034</t>
  </si>
  <si>
    <t>NB10053</t>
  </si>
  <si>
    <t>NB10069</t>
  </si>
  <si>
    <t>NB10149</t>
  </si>
  <si>
    <t>NB10009</t>
  </si>
  <si>
    <t>NB10176</t>
  </si>
  <si>
    <t>NB10291</t>
  </si>
  <si>
    <t>NB10091</t>
  </si>
  <si>
    <t>NB10262</t>
  </si>
  <si>
    <t>NB10336</t>
  </si>
  <si>
    <t>NB10145</t>
  </si>
  <si>
    <t>NB10002</t>
  </si>
  <si>
    <t>NB10335</t>
  </si>
  <si>
    <t>NB10059</t>
  </si>
  <si>
    <t>NB10258</t>
  </si>
  <si>
    <t>NB10289</t>
  </si>
  <si>
    <t>NB10307</t>
  </si>
  <si>
    <t>NB10239</t>
  </si>
  <si>
    <t>NB10294</t>
  </si>
  <si>
    <t>NB10079</t>
  </si>
  <si>
    <t>NB10228</t>
  </si>
  <si>
    <t>NB10167</t>
  </si>
  <si>
    <t>NB10341</t>
  </si>
  <si>
    <t>NB10062</t>
  </si>
  <si>
    <t>NB10237</t>
  </si>
  <si>
    <t>NB10021</t>
  </si>
  <si>
    <t>NB10114</t>
  </si>
  <si>
    <t>NB10334</t>
  </si>
  <si>
    <t>NB10348</t>
  </si>
  <si>
    <t>NB10161</t>
  </si>
  <si>
    <t>NB10080</t>
  </si>
  <si>
    <t>NB10085</t>
  </si>
  <si>
    <t>NB10092</t>
  </si>
  <si>
    <t>NB10298</t>
  </si>
  <si>
    <t>NB10073</t>
  </si>
  <si>
    <t>NB10183</t>
  </si>
  <si>
    <t>NB10102</t>
  </si>
  <si>
    <t>NB10186</t>
  </si>
  <si>
    <t>NB10072</t>
  </si>
  <si>
    <t>NB10105</t>
  </si>
  <si>
    <t>NB10134</t>
  </si>
  <si>
    <t>NB10245</t>
  </si>
  <si>
    <t>NB10297</t>
  </si>
  <si>
    <t>NB10321</t>
  </si>
  <si>
    <t>NB10181</t>
  </si>
  <si>
    <t>NB10324</t>
  </si>
  <si>
    <t>NB10358</t>
  </si>
  <si>
    <t>NB10224</t>
  </si>
  <si>
    <t>NB10023</t>
  </si>
  <si>
    <t>NB10024</t>
  </si>
  <si>
    <t>NB10047</t>
  </si>
  <si>
    <t xml:space="preserve">Gross Margin </t>
  </si>
  <si>
    <t xml:space="preserve">Gross margin </t>
  </si>
  <si>
    <t xml:space="preserve">Total Revenue </t>
  </si>
  <si>
    <t xml:space="preserve">Total Gross Profit </t>
  </si>
  <si>
    <t>Overall Gross margin</t>
  </si>
  <si>
    <t xml:space="preserve"> north west  </t>
  </si>
  <si>
    <t>DESK</t>
  </si>
  <si>
    <t xml:space="preserve"> Chloe Evans </t>
  </si>
  <si>
    <t xml:space="preserve"> midlands  </t>
  </si>
  <si>
    <t>LAPTOP</t>
  </si>
  <si>
    <t xml:space="preserve"> south east  </t>
  </si>
  <si>
    <t xml:space="preserve"> Daniel Reed </t>
  </si>
  <si>
    <t xml:space="preserve"> london  </t>
  </si>
  <si>
    <t xml:space="preserve"> Aisha Khan </t>
  </si>
  <si>
    <t>Business</t>
  </si>
  <si>
    <t>MOUSE</t>
  </si>
  <si>
    <t>NB10146</t>
  </si>
  <si>
    <t xml:space="preserve"> Ben Clarke </t>
  </si>
  <si>
    <t>MONITOR</t>
  </si>
  <si>
    <t>OFFICE CHAIR</t>
  </si>
  <si>
    <t>NB10299</t>
  </si>
  <si>
    <t>Column / area</t>
  </si>
  <si>
    <t>Issue observed</t>
  </si>
  <si>
    <t>Example order or cell</t>
  </si>
  <si>
    <t>Why it matters</t>
  </si>
  <si>
    <t>Proposed treatment / question</t>
  </si>
  <si>
    <t>6 blank cells</t>
  </si>
  <si>
    <t>Category summaries could be incomplete.</t>
  </si>
  <si>
    <t>Retrieve the category from Product Reference using Product ID.</t>
  </si>
  <si>
    <t>Customer reports would contain missing names.</t>
  </si>
  <si>
    <t>Retrieve the name from Customer Reference using Customer ID.</t>
  </si>
  <si>
    <t>5 blank cells</t>
  </si>
  <si>
    <t>Product cost, gross profit and margin cannot be calculated reliably.</t>
  </si>
  <si>
    <t>Retrieve the unit cost from Product Reference using Product ID.</t>
  </si>
  <si>
    <t>2 blank cells</t>
  </si>
  <si>
    <t>Revenue and product cost cannot be calculated for these orders.</t>
  </si>
  <si>
    <t>Request the original transaction quantities. If unavailable, flag the orders and document their exclusion from affected calculations. Do not guess.</t>
  </si>
  <si>
    <t>Sales cannot be fully attributed to individual salespeople.</t>
  </si>
  <si>
    <t>Request the missing names. If unavailable, label them “Unknown” and retain the sales in overall totals.</t>
  </si>
  <si>
    <t>4 dates stored as text</t>
  </si>
  <si>
    <t>Date sorting, calculations and monthly grouping could be unreliable.</t>
  </si>
  <si>
    <t>Convert them to genuine Excel dates using UK day/month/year order.</t>
  </si>
  <si>
    <t>5 quantities stored as text</t>
  </si>
  <si>
    <t>Numeric calculations and summaries could be unreliable.</t>
  </si>
  <si>
    <t>Convert to numbers and check that quantities are positive whole numbers.</t>
  </si>
  <si>
    <t>5 prices stored as text, including a £ symbol</t>
  </si>
  <si>
    <t>Revenue calculations and numeric summaries could be unreliable.</t>
  </si>
  <si>
    <t>Remove the text currency symbol, convert to numbers and apply currency formatting.</t>
  </si>
  <si>
    <t>4 percentages stored as text</t>
  </si>
  <si>
    <t>Discount and revenue calculations could be unreliable.</t>
  </si>
  <si>
    <t>Convert to numeric percentages, preserving the rate—for example, 10% must equal 0.10.</t>
  </si>
  <si>
    <t>9 names use inconsistent uppercase text</t>
  </si>
  <si>
    <r>
      <t>NB10290: </t>
    </r>
    <r>
      <rPr>
        <sz val="10"/>
        <color rgb="FF000000"/>
        <rFont val="Arial Unicode MS"/>
        <family val="2"/>
        <charset val="1"/>
      </rPr>
      <t>OFFICE CHAIR</t>
    </r>
  </si>
  <si>
    <t>Product labels are inconsistent and could affect matching or reporting.</t>
  </si>
  <si>
    <t>Standardise names against Product Reference using Product ID.</t>
  </si>
  <si>
    <t>13 values contain extra spaces and lowercase text</t>
  </si>
  <si>
    <t>The same region could appear as separate groups or fail to match criteria.</t>
  </si>
  <si>
    <t>Remove leading/trailing spaces and standardise region capitalisation.</t>
  </si>
  <si>
    <t>8 names contain leading/trailing spaces</t>
  </si>
  <si>
    <t>The same salesperson could appear as separate groups or fail to match criteria.</t>
  </si>
  <si>
    <t>Remove leading/trailing spaces.</t>
  </si>
  <si>
    <t>2 records use “Business” instead of “B2B”</t>
  </si>
  <si>
    <t>NB10127, NB10268</t>
  </si>
  <si>
    <t>The same customer type could appear as separate groups.</t>
  </si>
  <si>
    <t>Confirm against Customer Reference using Customer ID and standardise to B2B/B2C.</t>
  </si>
  <si>
    <t>Entire records / Order ID</t>
  </si>
  <si>
    <t>5 exact duplicate records</t>
  </si>
  <si>
    <t>NB10039, NB10149, NB10277, NB10308, NB10341</t>
  </si>
  <si>
    <t>Sales, quantities and profit would be double-counted.</t>
  </si>
  <si>
    <t>Keep one copy of each transaction after confirming the entire rows are identical.</t>
  </si>
  <si>
    <t xml:space="preserve">Missing Qunitities </t>
  </si>
  <si>
    <t>NB10146, NB10299</t>
  </si>
  <si>
    <t xml:space="preserve">We do not have enough information to recover from the orginal quanities. </t>
  </si>
  <si>
    <t>Two orders were excluded because their quantities were missing.</t>
  </si>
  <si>
    <t xml:space="preserve">Unknown Saleperson </t>
  </si>
  <si>
    <t>2 blank cells fill with "Unkonwn"</t>
  </si>
  <si>
    <t>NB10112, NB10232</t>
  </si>
  <si>
    <t xml:space="preserve">We can not recover those information but we do not want it to attribute to the wrong person. </t>
  </si>
  <si>
    <t>Missing salesperson names could not be recovered. Labelled “Unknown”; orders retained in overall sales totals.</t>
  </si>
  <si>
    <t xml:space="preserve">removed duplicate data </t>
  </si>
  <si>
    <t xml:space="preserve">5 exact duplicate records, 358 record remaning </t>
  </si>
  <si>
    <t xml:space="preserve">Removed because they were dupicate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</si>
</sst>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"/>
    <numFmt numFmtId="165" formatCode="&quot;£&quot;#,##0.00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73D52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 Unicode MS"/>
      <family val="2"/>
      <charset val="1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 (Body)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D52"/>
      </patternFill>
    </fill>
    <fill>
      <patternFill patternType="solid">
        <fgColor rgb="FF173D52"/>
        <bgColor rgb="FF000000"/>
      </patternFill>
    </fill>
    <fill>
      <patternFill patternType="solid">
        <fgColor rgb="FF173D5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3" fillId="0" borderId="0" xfId="0" applyFont="1"/>
    <xf numFmtId="14" fontId="1" fillId="2" borderId="0" xfId="0" applyNumberFormat="1" applyFont="1" applyFill="1" applyAlignment="1">
      <alignment wrapText="1"/>
    </xf>
    <xf numFmtId="0" fontId="5" fillId="3" borderId="0" xfId="0" applyFont="1" applyFill="1" applyAlignment="1">
      <alignment wrapText="1"/>
    </xf>
    <xf numFmtId="0" fontId="6" fillId="0" borderId="0" xfId="0" applyFont="1"/>
    <xf numFmtId="14" fontId="6" fillId="0" borderId="0" xfId="0" applyNumberFormat="1" applyFont="1"/>
    <xf numFmtId="164" fontId="6" fillId="0" borderId="0" xfId="0" applyNumberFormat="1" applyFont="1"/>
    <xf numFmtId="9" fontId="6" fillId="0" borderId="0" xfId="0" applyNumberFormat="1" applyFont="1"/>
    <xf numFmtId="165" fontId="1" fillId="2" borderId="0" xfId="0" applyNumberFormat="1" applyFont="1" applyFill="1" applyAlignment="1">
      <alignment wrapText="1"/>
    </xf>
    <xf numFmtId="165" fontId="0" fillId="0" borderId="0" xfId="0" applyNumberFormat="1"/>
    <xf numFmtId="1" fontId="1" fillId="2" borderId="0" xfId="0" applyNumberFormat="1" applyFont="1" applyFill="1" applyAlignment="1">
      <alignment wrapText="1"/>
    </xf>
    <xf numFmtId="1" fontId="0" fillId="0" borderId="0" xfId="0" applyNumberFormat="1"/>
    <xf numFmtId="0" fontId="1" fillId="4" borderId="0" xfId="0" applyFont="1" applyFill="1" applyAlignment="1">
      <alignment wrapText="1"/>
    </xf>
    <xf numFmtId="165" fontId="1" fillId="4" borderId="0" xfId="0" applyNumberFormat="1" applyFont="1" applyFill="1" applyAlignment="1">
      <alignment wrapText="1"/>
    </xf>
    <xf numFmtId="10" fontId="1" fillId="4" borderId="0" xfId="0" applyNumberFormat="1" applyFont="1" applyFill="1" applyAlignment="1">
      <alignment wrapText="1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/>
    <xf numFmtId="0" fontId="0" fillId="7" borderId="0" xfId="0" applyFill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165" fontId="9" fillId="6" borderId="0" xfId="0" applyNumberFormat="1" applyFont="1" applyFill="1" applyAlignment="1">
      <alignment horizontal="center" vertical="center"/>
    </xf>
    <xf numFmtId="10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\£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\£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000000"/>
          <bgColor rgb="FF173D52"/>
        </patternFill>
      </fill>
      <alignment horizontal="general" vertical="bottom" textRotation="0" wrapText="1" indent="0" justifyLastLine="0" shrinkToFit="0" readingOrder="0"/>
    </dxf>
    <dxf>
      <numFmt numFmtId="14" formatCode="0.00%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4" formatCode="\£#,##0.00"/>
    </dxf>
    <dxf>
      <numFmt numFmtId="164" formatCode="\£#,##0.00"/>
    </dxf>
    <dxf>
      <numFmt numFmtId="1" formatCode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73D52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[Excel_Fundamentals_Mini_Project.xlsx]Date Analysis!PivotTable5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55680086360173"/>
          <c:y val="0.13454545454545452"/>
          <c:w val="0.64725885826771656"/>
          <c:h val="0.79853342877594846"/>
        </c:manualLayout>
      </c:layout>
      <c:lineChart>
        <c:grouping val="standard"/>
        <c:varyColors val="0"/>
        <c:ser>
          <c:idx val="0"/>
          <c:order val="0"/>
          <c:tx>
            <c:strRef>
              <c:f>'Date Analysis'!$B$3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'Date Analysis'!$A$4:$A$10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'Date Analysis'!$B$4:$B$10</c:f>
              <c:numCache>
                <c:formatCode>"£"#,##0.00</c:formatCode>
                <c:ptCount val="6"/>
                <c:pt idx="0">
                  <c:v>36590.299999999996</c:v>
                </c:pt>
                <c:pt idx="1">
                  <c:v>23436.825000000008</c:v>
                </c:pt>
                <c:pt idx="2">
                  <c:v>38459.537499999999</c:v>
                </c:pt>
                <c:pt idx="3">
                  <c:v>51197.562500000015</c:v>
                </c:pt>
                <c:pt idx="4">
                  <c:v>31820.775000000005</c:v>
                </c:pt>
                <c:pt idx="5">
                  <c:v>48999.162499999999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0-6640-8FA7-8CC41A0501D6}"/>
            </c:ext>
          </c:extLst>
        </c:ser>
        <c:ser>
          <c:idx val="1"/>
          <c:order val="1"/>
          <c:tx>
            <c:strRef>
              <c:f>'Date Analysis'!$C$3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'Date Analysis'!$A$4:$A$10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'Date Analysis'!$C$4:$C$10</c:f>
              <c:numCache>
                <c:formatCode>"£"#,##0.00</c:formatCode>
                <c:ptCount val="6"/>
                <c:pt idx="0">
                  <c:v>14403.300000000001</c:v>
                </c:pt>
                <c:pt idx="1">
                  <c:v>9771.8250000000007</c:v>
                </c:pt>
                <c:pt idx="2">
                  <c:v>13741.537500000002</c:v>
                </c:pt>
                <c:pt idx="3">
                  <c:v>19271.5625</c:v>
                </c:pt>
                <c:pt idx="4">
                  <c:v>13547.775</c:v>
                </c:pt>
                <c:pt idx="5">
                  <c:v>17800.162500000002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50-6640-8FA7-8CC41A050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061311"/>
        <c:axId val="941709439"/>
      </c:lineChart>
      <c:catAx>
        <c:axId val="1200061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Monthly Revnue and Gross Profit</a:t>
                </a:r>
              </a:p>
            </c:rich>
          </c:tx>
          <c:layout>
            <c:manualLayout>
              <c:xMode val="edge"/>
              <c:yMode val="edge"/>
              <c:x val="0.31650066675133348"/>
              <c:y val="4.289076592698641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09439"/>
        <c:crosses val="autoZero"/>
        <c:auto val="1"/>
        <c:lblAlgn val="ctr"/>
        <c:lblOffset val="100"/>
        <c:noMultiLvlLbl val="0"/>
      </c:catAx>
      <c:valAx>
        <c:axId val="94170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6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[Excel_Fundamentals_Mini_Project.xlsx]Product Sheet!PivotTable2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62475205866442"/>
          <c:y val="8.222222222222221E-2"/>
          <c:w val="0.71192570775981245"/>
          <c:h val="0.876881539807524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Sheet'!$B$3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Sheet'!$A$4:$A$12</c:f>
              <c:strCache>
                <c:ptCount val="8"/>
                <c:pt idx="0">
                  <c:v>Laptop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Office Chair</c:v>
                </c:pt>
                <c:pt idx="5">
                  <c:v>Headphones</c:v>
                </c:pt>
                <c:pt idx="6">
                  <c:v>Keyboard</c:v>
                </c:pt>
                <c:pt idx="7">
                  <c:v>Mouse</c:v>
                </c:pt>
              </c:strCache>
            </c:strRef>
          </c:cat>
          <c:val>
            <c:numRef>
              <c:f>'Product Sheet'!$B$4:$B$12</c:f>
              <c:numCache>
                <c:formatCode>"£"#,##0.00</c:formatCode>
                <c:ptCount val="8"/>
                <c:pt idx="0">
                  <c:v>99857.875</c:v>
                </c:pt>
                <c:pt idx="1">
                  <c:v>37003.200000000004</c:v>
                </c:pt>
                <c:pt idx="2">
                  <c:v>29512</c:v>
                </c:pt>
                <c:pt idx="3">
                  <c:v>23693.85</c:v>
                </c:pt>
                <c:pt idx="4">
                  <c:v>20344.024999999998</c:v>
                </c:pt>
                <c:pt idx="5">
                  <c:v>9534.3875000000007</c:v>
                </c:pt>
                <c:pt idx="6">
                  <c:v>7349.4749999999985</c:v>
                </c:pt>
                <c:pt idx="7">
                  <c:v>3209.349999999999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0-B940-A281-F800B060AE8C}"/>
            </c:ext>
          </c:extLst>
        </c:ser>
        <c:ser>
          <c:idx val="1"/>
          <c:order val="1"/>
          <c:tx>
            <c:strRef>
              <c:f>'Product Sheet'!$C$3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Sheet'!$A$4:$A$12</c:f>
              <c:strCache>
                <c:ptCount val="8"/>
                <c:pt idx="0">
                  <c:v>Laptop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Office Chair</c:v>
                </c:pt>
                <c:pt idx="5">
                  <c:v>Headphones</c:v>
                </c:pt>
                <c:pt idx="6">
                  <c:v>Keyboard</c:v>
                </c:pt>
                <c:pt idx="7">
                  <c:v>Mouse</c:v>
                </c:pt>
              </c:strCache>
            </c:strRef>
          </c:cat>
          <c:val>
            <c:numRef>
              <c:f>'Product Sheet'!$C$4:$C$12</c:f>
              <c:numCache>
                <c:formatCode>"£"#,##0.00</c:formatCode>
                <c:ptCount val="8"/>
                <c:pt idx="0">
                  <c:v>30627.875</c:v>
                </c:pt>
                <c:pt idx="1">
                  <c:v>13908.199999999999</c:v>
                </c:pt>
                <c:pt idx="2">
                  <c:v>12031.999999999996</c:v>
                </c:pt>
                <c:pt idx="3">
                  <c:v>10773.849999999999</c:v>
                </c:pt>
                <c:pt idx="4">
                  <c:v>9424.0249999999996</c:v>
                </c:pt>
                <c:pt idx="5">
                  <c:v>5530.3874999999998</c:v>
                </c:pt>
                <c:pt idx="6">
                  <c:v>4213.4749999999995</c:v>
                </c:pt>
                <c:pt idx="7">
                  <c:v>2026.3500000000004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0-B940-A281-F800B060A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0322623"/>
        <c:axId val="940310975"/>
      </c:barChart>
      <c:catAx>
        <c:axId val="94032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10975"/>
        <c:crosses val="autoZero"/>
        <c:auto val="1"/>
        <c:lblAlgn val="ctr"/>
        <c:lblOffset val="100"/>
        <c:noMultiLvlLbl val="0"/>
      </c:catAx>
      <c:valAx>
        <c:axId val="94031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Revenue</a:t>
                </a:r>
                <a:r>
                  <a:rPr lang="en-GB" sz="1100" baseline="0"/>
                  <a:t> and Gross Profit by Product</a:t>
                </a:r>
              </a:p>
            </c:rich>
          </c:tx>
          <c:layout>
            <c:manualLayout>
              <c:xMode val="edge"/>
              <c:yMode val="edge"/>
              <c:x val="0.34571689007558637"/>
              <c:y val="4.17664608037855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2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[Excel_Fundamentals_Mini_Project.xlsx]Date Analysis!PivotTable5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55680086360173"/>
          <c:y val="9.9895778127457618E-2"/>
          <c:w val="0.80947572191227302"/>
          <c:h val="0.82128370244109727"/>
        </c:manualLayout>
      </c:layout>
      <c:lineChart>
        <c:grouping val="standard"/>
        <c:varyColors val="0"/>
        <c:ser>
          <c:idx val="0"/>
          <c:order val="0"/>
          <c:tx>
            <c:strRef>
              <c:f>'Date Analysis'!$B$3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'Date Analysis'!$A$4:$A$10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'Date Analysis'!$B$4:$B$10</c:f>
              <c:numCache>
                <c:formatCode>"£"#,##0.00</c:formatCode>
                <c:ptCount val="6"/>
                <c:pt idx="0">
                  <c:v>36590.299999999996</c:v>
                </c:pt>
                <c:pt idx="1">
                  <c:v>23436.825000000008</c:v>
                </c:pt>
                <c:pt idx="2">
                  <c:v>38459.537499999999</c:v>
                </c:pt>
                <c:pt idx="3">
                  <c:v>51197.562500000015</c:v>
                </c:pt>
                <c:pt idx="4">
                  <c:v>31820.775000000005</c:v>
                </c:pt>
                <c:pt idx="5">
                  <c:v>48999.162499999999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3-4F4D-8A80-85645E081622}"/>
            </c:ext>
          </c:extLst>
        </c:ser>
        <c:ser>
          <c:idx val="1"/>
          <c:order val="1"/>
          <c:tx>
            <c:strRef>
              <c:f>'Date Analysis'!$C$3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'Date Analysis'!$A$4:$A$10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'Date Analysis'!$C$4:$C$10</c:f>
              <c:numCache>
                <c:formatCode>"£"#,##0.00</c:formatCode>
                <c:ptCount val="6"/>
                <c:pt idx="0">
                  <c:v>14403.300000000001</c:v>
                </c:pt>
                <c:pt idx="1">
                  <c:v>9771.8250000000007</c:v>
                </c:pt>
                <c:pt idx="2">
                  <c:v>13741.537500000002</c:v>
                </c:pt>
                <c:pt idx="3">
                  <c:v>19271.5625</c:v>
                </c:pt>
                <c:pt idx="4">
                  <c:v>13547.775</c:v>
                </c:pt>
                <c:pt idx="5">
                  <c:v>17800.162500000002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3-4F4D-8A80-85645E081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061311"/>
        <c:axId val="941709439"/>
      </c:lineChart>
      <c:catAx>
        <c:axId val="1200061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Monthly Revnue and Gross Profit</a:t>
                </a:r>
              </a:p>
            </c:rich>
          </c:tx>
          <c:layout>
            <c:manualLayout>
              <c:xMode val="edge"/>
              <c:yMode val="edge"/>
              <c:x val="0.35879727390282656"/>
              <c:y val="2.57839632080049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09439"/>
        <c:crosses val="autoZero"/>
        <c:auto val="1"/>
        <c:lblAlgn val="ctr"/>
        <c:lblOffset val="100"/>
        <c:noMultiLvlLbl val="0"/>
      </c:catAx>
      <c:valAx>
        <c:axId val="94170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06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[Excel_Fundamentals_Mini_Project.xlsx]Region Analysis!PivotTable1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38402230971129"/>
          <c:y val="0.10027100271002709"/>
          <c:w val="0.67768996237814871"/>
          <c:h val="0.849855513110366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North West</c:v>
                </c:pt>
                <c:pt idx="1">
                  <c:v>Midlands</c:v>
                </c:pt>
                <c:pt idx="2">
                  <c:v>London</c:v>
                </c:pt>
                <c:pt idx="3">
                  <c:v>South East</c:v>
                </c:pt>
              </c:strCache>
            </c:strRef>
          </c:cat>
          <c:val>
            <c:numRef>
              <c:f>'Region Analysis'!$B$4:$B$8</c:f>
              <c:numCache>
                <c:formatCode>"£"#,##0.00</c:formatCode>
                <c:ptCount val="4"/>
                <c:pt idx="0">
                  <c:v>62029.049999999996</c:v>
                </c:pt>
                <c:pt idx="1">
                  <c:v>58851.774999999994</c:v>
                </c:pt>
                <c:pt idx="2">
                  <c:v>58322.100000000013</c:v>
                </c:pt>
                <c:pt idx="3">
                  <c:v>51301.237500000003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A-D149-82CF-5FD7F7AE512D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North West</c:v>
                </c:pt>
                <c:pt idx="1">
                  <c:v>Midlands</c:v>
                </c:pt>
                <c:pt idx="2">
                  <c:v>London</c:v>
                </c:pt>
                <c:pt idx="3">
                  <c:v>South East</c:v>
                </c:pt>
              </c:strCache>
            </c:strRef>
          </c:cat>
          <c:val>
            <c:numRef>
              <c:f>'Region Analysis'!$C$4:$C$8</c:f>
              <c:numCache>
                <c:formatCode>"£"#,##0.00</c:formatCode>
                <c:ptCount val="4"/>
                <c:pt idx="0">
                  <c:v>23333.050000000003</c:v>
                </c:pt>
                <c:pt idx="1">
                  <c:v>23169.775000000001</c:v>
                </c:pt>
                <c:pt idx="2">
                  <c:v>22484.100000000009</c:v>
                </c:pt>
                <c:pt idx="3">
                  <c:v>19549.237500000003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A-D149-82CF-5FD7F7AE5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1436735"/>
        <c:axId val="1202636543"/>
      </c:barChart>
      <c:catAx>
        <c:axId val="94143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36543"/>
        <c:crosses val="autoZero"/>
        <c:auto val="1"/>
        <c:lblAlgn val="ctr"/>
        <c:lblOffset val="100"/>
        <c:noMultiLvlLbl val="0"/>
      </c:catAx>
      <c:valAx>
        <c:axId val="120263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Revenue and Gross Profit by Region</a:t>
                </a:r>
              </a:p>
            </c:rich>
          </c:tx>
          <c:layout>
            <c:manualLayout>
              <c:xMode val="edge"/>
              <c:yMode val="edge"/>
              <c:x val="0.37227192001790799"/>
              <c:y val="3.35312415075773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43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[Excel_Fundamentals_Mini_Project.xlsx]Customer Type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Revenue and Gross Profit by Customer Type</a:t>
            </a:r>
            <a:endParaRPr lang="en-GB" sz="11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Type Analysis'!$B$3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Type Analysis'!$A$4:$A$6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'Customer Type Analysis'!$B$4:$B$6</c:f>
              <c:numCache>
                <c:formatCode>"£"#,##0.00</c:formatCode>
                <c:ptCount val="2"/>
                <c:pt idx="0">
                  <c:v>112402.22499999995</c:v>
                </c:pt>
                <c:pt idx="1">
                  <c:v>118101.93749999996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4-A547-849A-52556BD30AE3}"/>
            </c:ext>
          </c:extLst>
        </c:ser>
        <c:ser>
          <c:idx val="1"/>
          <c:order val="1"/>
          <c:tx>
            <c:strRef>
              <c:f>'Customer Type Analysis'!$C$3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Type Analysis'!$A$4:$A$6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'Customer Type Analysis'!$C$4:$C$6</c:f>
              <c:numCache>
                <c:formatCode>"£"#,##0.00</c:formatCode>
                <c:ptCount val="2"/>
                <c:pt idx="0">
                  <c:v>44723.225000000013</c:v>
                </c:pt>
                <c:pt idx="1">
                  <c:v>43812.9375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4-A547-849A-52556BD30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988607"/>
        <c:axId val="1201543743"/>
      </c:barChart>
      <c:catAx>
        <c:axId val="119998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3743"/>
        <c:crosses val="autoZero"/>
        <c:auto val="1"/>
        <c:lblAlgn val="ctr"/>
        <c:lblOffset val="100"/>
        <c:noMultiLvlLbl val="0"/>
      </c:catAx>
      <c:valAx>
        <c:axId val="12015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8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[Excel_Fundamentals_Mini_Project.xlsx]Customer Type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and Gross Profit for Customer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Type Analysis'!$B$3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Type Analysis'!$A$4:$A$6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'Customer Type Analysis'!$B$4:$B$6</c:f>
              <c:numCache>
                <c:formatCode>"£"#,##0.00</c:formatCode>
                <c:ptCount val="2"/>
                <c:pt idx="0">
                  <c:v>112402.22499999995</c:v>
                </c:pt>
                <c:pt idx="1">
                  <c:v>118101.93749999996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B-F04A-BC66-7F911BC61EFF}"/>
            </c:ext>
          </c:extLst>
        </c:ser>
        <c:ser>
          <c:idx val="1"/>
          <c:order val="1"/>
          <c:tx>
            <c:strRef>
              <c:f>'Customer Type Analysis'!$C$3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Type Analysis'!$A$4:$A$6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'Customer Type Analysis'!$C$4:$C$6</c:f>
              <c:numCache>
                <c:formatCode>"£"#,##0.00</c:formatCode>
                <c:ptCount val="2"/>
                <c:pt idx="0">
                  <c:v>44723.225000000013</c:v>
                </c:pt>
                <c:pt idx="1">
                  <c:v>43812.9375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B-F04A-BC66-7F911BC61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988607"/>
        <c:axId val="1201543743"/>
      </c:barChart>
      <c:catAx>
        <c:axId val="119998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3743"/>
        <c:crosses val="autoZero"/>
        <c:auto val="1"/>
        <c:lblAlgn val="ctr"/>
        <c:lblOffset val="100"/>
        <c:noMultiLvlLbl val="0"/>
      </c:catAx>
      <c:valAx>
        <c:axId val="12015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8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[Excel_Fundamentals_Mini_Project.xlsx]Product Sheet!PivotTable2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62475205866442"/>
          <c:y val="8.222222222222221E-2"/>
          <c:w val="0.71192570775981245"/>
          <c:h val="0.876881539807524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Sheet'!$B$3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Sheet'!$A$4:$A$12</c:f>
              <c:strCache>
                <c:ptCount val="8"/>
                <c:pt idx="0">
                  <c:v>Laptop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Office Chair</c:v>
                </c:pt>
                <c:pt idx="5">
                  <c:v>Headphones</c:v>
                </c:pt>
                <c:pt idx="6">
                  <c:v>Keyboard</c:v>
                </c:pt>
                <c:pt idx="7">
                  <c:v>Mouse</c:v>
                </c:pt>
              </c:strCache>
            </c:strRef>
          </c:cat>
          <c:val>
            <c:numRef>
              <c:f>'Product Sheet'!$B$4:$B$12</c:f>
              <c:numCache>
                <c:formatCode>"£"#,##0.00</c:formatCode>
                <c:ptCount val="8"/>
                <c:pt idx="0">
                  <c:v>99857.875</c:v>
                </c:pt>
                <c:pt idx="1">
                  <c:v>37003.200000000004</c:v>
                </c:pt>
                <c:pt idx="2">
                  <c:v>29512</c:v>
                </c:pt>
                <c:pt idx="3">
                  <c:v>23693.85</c:v>
                </c:pt>
                <c:pt idx="4">
                  <c:v>20344.024999999998</c:v>
                </c:pt>
                <c:pt idx="5">
                  <c:v>9534.3875000000007</c:v>
                </c:pt>
                <c:pt idx="6">
                  <c:v>7349.4749999999985</c:v>
                </c:pt>
                <c:pt idx="7">
                  <c:v>3209.349999999999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4-1B47-AB19-D622E44C2F38}"/>
            </c:ext>
          </c:extLst>
        </c:ser>
        <c:ser>
          <c:idx val="1"/>
          <c:order val="1"/>
          <c:tx>
            <c:strRef>
              <c:f>'Product Sheet'!$C$3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Sheet'!$A$4:$A$12</c:f>
              <c:strCache>
                <c:ptCount val="8"/>
                <c:pt idx="0">
                  <c:v>Laptop</c:v>
                </c:pt>
                <c:pt idx="1">
                  <c:v>Tablet</c:v>
                </c:pt>
                <c:pt idx="2">
                  <c:v>Desk</c:v>
                </c:pt>
                <c:pt idx="3">
                  <c:v>Monitor</c:v>
                </c:pt>
                <c:pt idx="4">
                  <c:v>Office Chair</c:v>
                </c:pt>
                <c:pt idx="5">
                  <c:v>Headphones</c:v>
                </c:pt>
                <c:pt idx="6">
                  <c:v>Keyboard</c:v>
                </c:pt>
                <c:pt idx="7">
                  <c:v>Mouse</c:v>
                </c:pt>
              </c:strCache>
            </c:strRef>
          </c:cat>
          <c:val>
            <c:numRef>
              <c:f>'Product Sheet'!$C$4:$C$12</c:f>
              <c:numCache>
                <c:formatCode>"£"#,##0.00</c:formatCode>
                <c:ptCount val="8"/>
                <c:pt idx="0">
                  <c:v>30627.875</c:v>
                </c:pt>
                <c:pt idx="1">
                  <c:v>13908.199999999999</c:v>
                </c:pt>
                <c:pt idx="2">
                  <c:v>12031.999999999996</c:v>
                </c:pt>
                <c:pt idx="3">
                  <c:v>10773.849999999999</c:v>
                </c:pt>
                <c:pt idx="4">
                  <c:v>9424.0249999999996</c:v>
                </c:pt>
                <c:pt idx="5">
                  <c:v>5530.3874999999998</c:v>
                </c:pt>
                <c:pt idx="6">
                  <c:v>4213.4749999999995</c:v>
                </c:pt>
                <c:pt idx="7">
                  <c:v>2026.3500000000004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4-1B47-AB19-D622E44C2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0322623"/>
        <c:axId val="940310975"/>
      </c:barChart>
      <c:catAx>
        <c:axId val="94032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10975"/>
        <c:crosses val="autoZero"/>
        <c:auto val="1"/>
        <c:lblAlgn val="ctr"/>
        <c:lblOffset val="100"/>
        <c:noMultiLvlLbl val="0"/>
      </c:catAx>
      <c:valAx>
        <c:axId val="94031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  <a:r>
                  <a:rPr lang="en-GB" baseline="0"/>
                  <a:t> and Gross Profit by Product</a:t>
                </a:r>
              </a:p>
            </c:rich>
          </c:tx>
          <c:layout>
            <c:manualLayout>
              <c:xMode val="edge"/>
              <c:yMode val="edge"/>
              <c:x val="0.38995780489270904"/>
              <c:y val="4.17665791776027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2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[Excel_Fundamentals_Mini_Project.xlsx]Region Analysis!PivotTable1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38402230971129"/>
          <c:y val="0.10027100271002709"/>
          <c:w val="0.61907545931758534"/>
          <c:h val="0.849855536350639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North West</c:v>
                </c:pt>
                <c:pt idx="1">
                  <c:v>Midlands</c:v>
                </c:pt>
                <c:pt idx="2">
                  <c:v>London</c:v>
                </c:pt>
                <c:pt idx="3">
                  <c:v>South East</c:v>
                </c:pt>
              </c:strCache>
            </c:strRef>
          </c:cat>
          <c:val>
            <c:numRef>
              <c:f>'Region Analysis'!$B$4:$B$8</c:f>
              <c:numCache>
                <c:formatCode>"£"#,##0.00</c:formatCode>
                <c:ptCount val="4"/>
                <c:pt idx="0">
                  <c:v>62029.049999999996</c:v>
                </c:pt>
                <c:pt idx="1">
                  <c:v>58851.774999999994</c:v>
                </c:pt>
                <c:pt idx="2">
                  <c:v>58322.100000000013</c:v>
                </c:pt>
                <c:pt idx="3">
                  <c:v>51301.237500000003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4-D441-9CC5-ACF998558FBE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North West</c:v>
                </c:pt>
                <c:pt idx="1">
                  <c:v>Midlands</c:v>
                </c:pt>
                <c:pt idx="2">
                  <c:v>London</c:v>
                </c:pt>
                <c:pt idx="3">
                  <c:v>South East</c:v>
                </c:pt>
              </c:strCache>
            </c:strRef>
          </c:cat>
          <c:val>
            <c:numRef>
              <c:f>'Region Analysis'!$C$4:$C$8</c:f>
              <c:numCache>
                <c:formatCode>"£"#,##0.00</c:formatCode>
                <c:ptCount val="4"/>
                <c:pt idx="0">
                  <c:v>23333.050000000003</c:v>
                </c:pt>
                <c:pt idx="1">
                  <c:v>23169.775000000001</c:v>
                </c:pt>
                <c:pt idx="2">
                  <c:v>22484.100000000009</c:v>
                </c:pt>
                <c:pt idx="3">
                  <c:v>19549.237500000003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4-D441-9CC5-ACF99855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1436735"/>
        <c:axId val="1202636543"/>
      </c:barChart>
      <c:catAx>
        <c:axId val="94143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36543"/>
        <c:crosses val="autoZero"/>
        <c:auto val="1"/>
        <c:lblAlgn val="ctr"/>
        <c:lblOffset val="100"/>
        <c:noMultiLvlLbl val="0"/>
      </c:catAx>
      <c:valAx>
        <c:axId val="120263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and Gross Profit by Region</a:t>
                </a:r>
              </a:p>
            </c:rich>
          </c:tx>
          <c:layout>
            <c:manualLayout>
              <c:xMode val="edge"/>
              <c:yMode val="edge"/>
              <c:x val="0.34441650262467194"/>
              <c:y val="2.925463585344514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43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38100</xdr:rowOff>
    </xdr:from>
    <xdr:to>
      <xdr:col>11</xdr:col>
      <xdr:colOff>596900</xdr:colOff>
      <xdr:row>20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58BEA5-4633-E0D3-92DC-7CA4CD09E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78441</xdr:colOff>
      <xdr:row>9</xdr:row>
      <xdr:rowOff>74706</xdr:rowOff>
    </xdr:from>
    <xdr:to>
      <xdr:col>7</xdr:col>
      <xdr:colOff>924589</xdr:colOff>
      <xdr:row>25</xdr:row>
      <xdr:rowOff>37353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3D15D-06E1-5243-BEAE-2B02ABA8D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38914</xdr:colOff>
      <xdr:row>9</xdr:row>
      <xdr:rowOff>74706</xdr:rowOff>
    </xdr:from>
    <xdr:to>
      <xdr:col>15</xdr:col>
      <xdr:colOff>885062</xdr:colOff>
      <xdr:row>25</xdr:row>
      <xdr:rowOff>37353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38F8BC-8DCB-0142-B086-E0ACD301E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82176</xdr:colOff>
      <xdr:row>26</xdr:row>
      <xdr:rowOff>37353</xdr:rowOff>
    </xdr:from>
    <xdr:to>
      <xdr:col>7</xdr:col>
      <xdr:colOff>928324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5AEE77-BCC3-7740-83CA-7A8FC7B75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43633</xdr:colOff>
      <xdr:row>26</xdr:row>
      <xdr:rowOff>37353</xdr:rowOff>
    </xdr:from>
    <xdr:to>
      <xdr:col>15</xdr:col>
      <xdr:colOff>889781</xdr:colOff>
      <xdr:row>42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066DCC-783A-7F49-80D3-277D8013D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80681</xdr:colOff>
      <xdr:row>45</xdr:row>
      <xdr:rowOff>0</xdr:rowOff>
    </xdr:from>
    <xdr:to>
      <xdr:col>7</xdr:col>
      <xdr:colOff>923284</xdr:colOff>
      <xdr:row>55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40979F4-2717-40D7-89F0-9ABB07ABB5AE}"/>
            </a:ext>
          </a:extLst>
        </xdr:cNvPr>
        <xdr:cNvSpPr txBox="1"/>
      </xdr:nvSpPr>
      <xdr:spPr>
        <a:xfrm>
          <a:off x="80681" y="8686800"/>
          <a:ext cx="7717536" cy="186266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findings</a:t>
          </a:r>
        </a:p>
        <a:p>
          <a: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Laptops lead revenue and gross profit, with a 30.67% margin.</a:t>
          </a:r>
        </a:p>
        <a:p>
          <a:endParaRPr lang="en-GB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April leads revenue; May has the highest margin at 42.58%.</a:t>
          </a:r>
        </a:p>
        <a:p>
          <a:endParaRPr lang="en-GB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B2B has higher average revenue per order than B2C.</a:t>
          </a:r>
        </a:p>
      </xdr:txBody>
    </xdr:sp>
    <xdr:clientData/>
  </xdr:twoCellAnchor>
  <xdr:twoCellAnchor>
    <xdr:from>
      <xdr:col>8</xdr:col>
      <xdr:colOff>34865</xdr:colOff>
      <xdr:row>45</xdr:row>
      <xdr:rowOff>2990</xdr:rowOff>
    </xdr:from>
    <xdr:to>
      <xdr:col>15</xdr:col>
      <xdr:colOff>877468</xdr:colOff>
      <xdr:row>55</xdr:row>
      <xdr:rowOff>2990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D8DE10-DEBC-D94A-ABFC-E34EDDDEBC21}"/>
            </a:ext>
          </a:extLst>
        </xdr:cNvPr>
        <xdr:cNvSpPr txBox="1"/>
      </xdr:nvSpPr>
      <xdr:spPr>
        <a:xfrm>
          <a:off x="7891932" y="8689790"/>
          <a:ext cx="7717536" cy="186266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Recommendations</a:t>
          </a:r>
        </a:p>
        <a:p>
          <a: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Trial higher-margin accessories alongside laptop sales.</a:t>
          </a:r>
        </a:p>
        <a:p>
          <a:endParaRPr lang="en-GB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Investigate monthly product mix and discounts before repeating promotions.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2</xdr:row>
      <xdr:rowOff>12700</xdr:rowOff>
    </xdr:from>
    <xdr:to>
      <xdr:col>13</xdr:col>
      <xdr:colOff>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C1B156-9F76-BB9F-6C2F-9DA893CAB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177800</xdr:rowOff>
    </xdr:from>
    <xdr:to>
      <xdr:col>13</xdr:col>
      <xdr:colOff>812800</xdr:colOff>
      <xdr:row>34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2C43D-2EBC-2FF0-7E04-7ACDF1BCD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2</xdr:row>
      <xdr:rowOff>12700</xdr:rowOff>
    </xdr:from>
    <xdr:to>
      <xdr:col>19</xdr:col>
      <xdr:colOff>0</xdr:colOff>
      <xdr:row>26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51EB0F-5E1A-7B36-FDDF-4863E4EBE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03.604646296299" createdVersion="8" refreshedVersion="8" minRefreshableVersion="3" recordCount="358" xr:uid="{5AA934FB-D1CA-FA45-BCA9-86F337F5EA5B}">
  <cacheSource type="worksheet">
    <worksheetSource name="Sales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26-01-02T00:00:00" maxDate="2026-06-30T00:00:00" count="159">
        <d v="2026-01-02T00:00:00"/>
        <d v="2026-03-03T00:00:00"/>
        <d v="2026-06-21T00:00:00"/>
        <d v="2026-04-18T00:00:00"/>
        <d v="2026-06-09T00:00:00"/>
        <d v="2026-04-03T00:00:00"/>
        <d v="2026-04-25T00:00:00"/>
        <d v="2026-04-06T00:00:00"/>
        <d v="2026-03-19T00:00:00"/>
        <d v="2026-05-08T00:00:00"/>
        <d v="2026-06-13T00:00:00"/>
        <d v="2026-06-24T00:00:00"/>
        <d v="2026-06-26T00:00:00"/>
        <d v="2026-04-10T00:00:00"/>
        <d v="2026-06-12T00:00:00"/>
        <d v="2026-02-23T00:00:00"/>
        <d v="2026-03-12T00:00:00"/>
        <d v="2026-06-11T00:00:00"/>
        <d v="2026-05-15T00:00:00"/>
        <d v="2026-04-12T00:00:00"/>
        <d v="2026-03-31T00:00:00"/>
        <d v="2026-03-05T00:00:00"/>
        <d v="2026-04-22T00:00:00"/>
        <d v="2026-04-16T00:00:00"/>
        <d v="2026-05-20T00:00:00"/>
        <d v="2026-06-06T00:00:00"/>
        <d v="2026-01-14T00:00:00"/>
        <d v="2026-05-07T00:00:00"/>
        <d v="2026-04-27T00:00:00"/>
        <d v="2026-03-24T00:00:00"/>
        <d v="2026-01-17T00:00:00"/>
        <d v="2026-01-18T00:00:00"/>
        <d v="2026-01-27T00:00:00"/>
        <d v="2026-05-06T00:00:00"/>
        <d v="2026-02-24T00:00:00"/>
        <d v="2026-03-18T00:00:00"/>
        <d v="2026-06-02T00:00:00"/>
        <d v="2026-05-23T00:00:00"/>
        <d v="2026-02-21T00:00:00"/>
        <d v="2026-05-05T00:00:00"/>
        <d v="2026-03-16T00:00:00"/>
        <d v="2026-03-23T00:00:00"/>
        <d v="2026-01-16T00:00:00"/>
        <d v="2026-06-05T00:00:00"/>
        <d v="2026-01-05T00:00:00"/>
        <d v="2026-06-15T00:00:00"/>
        <d v="2026-04-26T00:00:00"/>
        <d v="2026-06-28T00:00:00"/>
        <d v="2026-03-02T00:00:00"/>
        <d v="2026-02-25T00:00:00"/>
        <d v="2026-03-07T00:00:00"/>
        <d v="2026-05-13T00:00:00"/>
        <d v="2026-02-09T00:00:00"/>
        <d v="2026-06-04T00:00:00"/>
        <d v="2026-03-13T00:00:00"/>
        <d v="2026-06-14T00:00:00"/>
        <d v="2026-05-27T00:00:00"/>
        <d v="2026-03-01T00:00:00"/>
        <d v="2026-05-28T00:00:00"/>
        <d v="2026-04-05T00:00:00"/>
        <d v="2026-06-17T00:00:00"/>
        <d v="2026-02-05T00:00:00"/>
        <d v="2026-06-16T00:00:00"/>
        <d v="2026-05-09T00:00:00"/>
        <d v="2026-02-19T00:00:00"/>
        <d v="2026-01-12T00:00:00"/>
        <d v="2026-06-29T00:00:00"/>
        <d v="2026-04-01T00:00:00"/>
        <d v="2026-03-15T00:00:00"/>
        <d v="2026-05-11T00:00:00"/>
        <d v="2026-02-04T00:00:00"/>
        <d v="2026-01-21T00:00:00"/>
        <d v="2026-02-08T00:00:00"/>
        <d v="2026-02-13T00:00:00"/>
        <d v="2026-01-11T00:00:00"/>
        <d v="2026-02-27T00:00:00"/>
        <d v="2026-02-17T00:00:00"/>
        <d v="2026-06-19T00:00:00"/>
        <d v="2026-05-01T00:00:00"/>
        <d v="2026-03-20T00:00:00"/>
        <d v="2026-05-22T00:00:00"/>
        <d v="2026-06-25T00:00:00"/>
        <d v="2026-06-10T00:00:00"/>
        <d v="2026-04-29T00:00:00"/>
        <d v="2026-05-21T00:00:00"/>
        <d v="2026-05-14T00:00:00"/>
        <d v="2026-04-09T00:00:00"/>
        <d v="2026-01-09T00:00:00"/>
        <d v="2026-05-04T00:00:00"/>
        <d v="2026-01-07T00:00:00"/>
        <d v="2026-02-11T00:00:00"/>
        <d v="2026-01-03T00:00:00"/>
        <d v="2026-05-18T00:00:00"/>
        <d v="2026-01-22T00:00:00"/>
        <d v="2026-04-11T00:00:00"/>
        <d v="2026-01-15T00:00:00"/>
        <d v="2026-06-20T00:00:00"/>
        <d v="2026-04-04T00:00:00"/>
        <d v="2026-04-23T00:00:00"/>
        <d v="2026-05-30T00:00:00"/>
        <d v="2026-04-02T00:00:00"/>
        <d v="2026-01-28T00:00:00"/>
        <d v="2026-06-01T00:00:00"/>
        <d v="2026-03-26T00:00:00"/>
        <d v="2026-04-08T00:00:00"/>
        <d v="2026-03-25T00:00:00"/>
        <d v="2026-03-08T00:00:00"/>
        <d v="2026-04-13T00:00:00"/>
        <d v="2026-04-28T00:00:00"/>
        <d v="2026-04-14T00:00:00"/>
        <d v="2026-04-17T00:00:00"/>
        <d v="2026-01-08T00:00:00"/>
        <d v="2026-04-07T00:00:00"/>
        <d v="2026-02-02T00:00:00"/>
        <d v="2026-03-30T00:00:00"/>
        <d v="2026-01-23T00:00:00"/>
        <d v="2026-04-21T00:00:00"/>
        <d v="2026-03-09T00:00:00"/>
        <d v="2026-05-19T00:00:00"/>
        <d v="2026-02-16T00:00:00"/>
        <d v="2026-03-29T00:00:00"/>
        <d v="2026-02-06T00:00:00"/>
        <d v="2026-02-12T00:00:00"/>
        <d v="2026-04-15T00:00:00"/>
        <d v="2026-02-10T00:00:00"/>
        <d v="2026-01-10T00:00:00"/>
        <d v="2026-01-06T00:00:00"/>
        <d v="2026-03-10T00:00:00"/>
        <d v="2026-03-06T00:00:00"/>
        <d v="2026-01-26T00:00:00"/>
        <d v="2026-02-26T00:00:00"/>
        <d v="2026-05-17T00:00:00"/>
        <d v="2026-01-13T00:00:00"/>
        <d v="2026-01-31T00:00:00"/>
        <d v="2026-02-03T00:00:00"/>
        <d v="2026-05-24T00:00:00"/>
        <d v="2026-03-27T00:00:00"/>
        <d v="2026-03-04T00:00:00"/>
        <d v="2026-02-14T00:00:00"/>
        <d v="2026-02-07T00:00:00"/>
        <d v="2026-06-22T00:00:00"/>
        <d v="2026-01-24T00:00:00"/>
        <d v="2026-01-04T00:00:00"/>
        <d v="2026-05-12T00:00:00"/>
        <d v="2026-06-27T00:00:00"/>
        <d v="2026-01-25T00:00:00"/>
        <d v="2026-02-18T00:00:00"/>
        <d v="2026-04-30T00:00:00"/>
        <d v="2026-05-10T00:00:00"/>
        <d v="2026-05-26T00:00:00"/>
        <d v="2026-05-25T00:00:00"/>
        <d v="2026-05-29T00:00:00"/>
        <d v="2026-06-07T00:00:00"/>
        <d v="2026-06-18T00:00:00"/>
        <d v="2026-01-19T00:00:00"/>
        <d v="2026-05-03T00:00:00"/>
        <d v="2026-02-01T00:00:00"/>
        <d v="2026-01-20T00:00:00"/>
        <d v="2026-03-22T00:00:00"/>
      </sharedItems>
      <fieldGroup par="19"/>
    </cacheField>
    <cacheField name="Product ID" numFmtId="0">
      <sharedItems/>
    </cacheField>
    <cacheField name="Product" numFmtId="0">
      <sharedItems count="8">
        <s v="Laptop"/>
        <s v="Tablet"/>
        <s v="Monitor"/>
        <s v="Desk"/>
        <s v="Office Chair"/>
        <s v="Headphones"/>
        <s v="Keyboard"/>
        <s v="Mouse"/>
      </sharedItems>
    </cacheField>
    <cacheField name="Category" numFmtId="0">
      <sharedItems/>
    </cacheField>
    <cacheField name="Region" numFmtId="0">
      <sharedItems count="4">
        <s v="London"/>
        <s v="North West"/>
        <s v="Midlands"/>
        <s v="South East"/>
      </sharedItems>
    </cacheField>
    <cacheField name="Customer ID" numFmtId="0">
      <sharedItems/>
    </cacheField>
    <cacheField name="Customer Name" numFmtId="0">
      <sharedItems/>
    </cacheField>
    <cacheField name="Customer Type" numFmtId="0">
      <sharedItems count="2">
        <s v="B2B"/>
        <s v="B2C"/>
      </sharedItems>
    </cacheField>
    <cacheField name="Salesperson" numFmtId="0">
      <sharedItems count="5">
        <s v="Aisha Khan"/>
        <s v="Chloe Evans"/>
        <s v="Daniel Reed"/>
        <s v="Ben Clarke"/>
        <s v="Unknown"/>
      </sharedItems>
    </cacheField>
    <cacheField name="Quantity" numFmtId="1">
      <sharedItems containsSemiMixedTypes="0" containsString="0" containsNumber="1" containsInteger="1" minValue="1" maxValue="12"/>
    </cacheField>
    <cacheField name="Unit Price" numFmtId="0">
      <sharedItems containsSemiMixedTypes="0" containsString="0" containsNumber="1" minValue="19" maxValue="682.5"/>
    </cacheField>
    <cacheField name="Unit Cost" numFmtId="164">
      <sharedItems containsSemiMixedTypes="0" containsString="0" containsNumber="1" containsInteger="1" minValue="7" maxValue="430"/>
    </cacheField>
    <cacheField name="Discount Rate" numFmtId="9">
      <sharedItems containsSemiMixedTypes="0" containsString="0" containsNumber="1" minValue="0" maxValue="0.15"/>
    </cacheField>
    <cacheField name="Revenue" numFmtId="165">
      <sharedItems containsSemiMixedTypes="0" containsString="0" containsNumber="1" minValue="17" maxValue="7132.125" count="218">
        <n v="7132.125"/>
        <n v="6175"/>
        <n v="4940"/>
        <n v="4777.5"/>
        <n v="4322.5"/>
        <n v="4106.375"/>
        <n v="3276"/>
        <n v="2900.625"/>
        <n v="2600"/>
        <n v="2470"/>
        <n v="2457"/>
        <n v="2320.5"/>
        <n v="2223"/>
        <n v="2160"/>
        <n v="2099.5"/>
        <n v="2047.5"/>
        <n v="2040"/>
        <n v="1950"/>
        <n v="1945.125"/>
        <n v="1870"/>
        <n v="1820"/>
        <n v="1776.5"/>
        <n v="1768"/>
        <n v="1740.375"/>
        <n v="1729"/>
        <n v="1701"/>
        <n v="1667.25"/>
        <n v="1657.5"/>
        <n v="1615"/>
        <n v="1589.5"/>
        <n v="1539"/>
        <n v="1530"/>
        <n v="1512"/>
        <n v="1453.5"/>
        <n v="1430"/>
        <n v="1365"/>
        <n v="1326"/>
        <n v="1300"/>
        <n v="1260"/>
        <n v="1235"/>
        <n v="1228.5"/>
        <n v="1215.5"/>
        <n v="1190"/>
        <n v="1173.25"/>
        <n v="1170"/>
        <n v="1111.5"/>
        <n v="1049.75"/>
        <n v="1040"/>
        <n v="1037.3999999999999"/>
        <n v="1011.5"/>
        <n v="988"/>
        <n v="936"/>
        <n v="928.19999999999993"/>
        <n v="884"/>
        <n v="867"/>
        <n v="839.8"/>
        <n v="819"/>
        <n v="810"/>
        <n v="807.5"/>
        <n v="780"/>
        <n v="741"/>
        <n v="720"/>
        <n v="703.94999999999993"/>
        <n v="702"/>
        <n v="686.375"/>
        <n v="684"/>
        <n v="680.4"/>
        <n v="680"/>
        <n v="663"/>
        <n v="650"/>
        <n v="648"/>
        <n v="617.5"/>
        <n v="614.25"/>
        <n v="612"/>
        <n v="606.9"/>
        <n v="605"/>
        <n v="595.65"/>
        <n v="580.125"/>
        <n v="574.75"/>
        <n v="552.5"/>
        <n v="550"/>
        <n v="546"/>
        <n v="540"/>
        <n v="539.96249999999998"/>
        <n v="538.65"/>
        <n v="535.5"/>
        <n v="520"/>
        <n v="510"/>
        <n v="495"/>
        <n v="494"/>
        <n v="491.40000000000003"/>
        <n v="487.34999999999997"/>
        <n v="468"/>
        <n v="467.77500000000003"/>
        <n v="464.09999999999997"/>
        <n v="459"/>
        <n v="442"/>
        <n v="441"/>
        <n v="440"/>
        <n v="419.9"/>
        <n v="409.5"/>
        <n v="399"/>
        <n v="390"/>
        <n v="389.02499999999998"/>
        <n v="370.5"/>
        <n v="368.55"/>
        <n v="365.75"/>
        <n v="360"/>
        <n v="351.97499999999997"/>
        <n v="351"/>
        <n v="348.07499999999999"/>
        <n v="346.5"/>
        <n v="342"/>
        <n v="340"/>
        <n v="330"/>
        <n v="327.25"/>
        <n v="306"/>
        <n v="303.45"/>
        <n v="299.25"/>
        <n v="297.5"/>
        <n v="297"/>
        <n v="289"/>
        <n v="275"/>
        <n v="274.55"/>
        <n v="273"/>
        <n v="266"/>
        <n v="261.25"/>
        <n v="260"/>
        <n v="247"/>
        <n v="244.38749999999999"/>
        <n v="239.39999999999998"/>
        <n v="238"/>
        <n v="234.64999999999998"/>
        <n v="234"/>
        <n v="232.75"/>
        <n v="232.04999999999998"/>
        <n v="231.52500000000001"/>
        <n v="231"/>
        <n v="220.5"/>
        <n v="220"/>
        <n v="209.95"/>
        <n v="209"/>
        <n v="208.25"/>
        <n v="199.5"/>
        <n v="189"/>
        <n v="180"/>
        <n v="179.54999999999998"/>
        <n v="178.5"/>
        <n v="170"/>
        <n v="169.57499999999999"/>
        <n v="165"/>
        <n v="161.5"/>
        <n v="160.65"/>
        <n v="160"/>
        <n v="156.75"/>
        <n v="153.42499999999998"/>
        <n v="153"/>
        <n v="148.75"/>
        <n v="148.5"/>
        <n v="147"/>
        <n v="144.5"/>
        <n v="144.4"/>
        <n v="140.25"/>
        <n v="140"/>
        <n v="133"/>
        <n v="130"/>
        <n v="126"/>
        <n v="124.95"/>
        <n v="123.5"/>
        <n v="122.85000000000001"/>
        <n v="119"/>
        <n v="117"/>
        <n v="110"/>
        <n v="107.1"/>
        <n v="105"/>
        <n v="104.5"/>
        <n v="102"/>
        <n v="100"/>
        <n v="99.75"/>
        <n v="99"/>
        <n v="94.762499999999989"/>
        <n v="93.712499999999991"/>
        <n v="93.5"/>
        <n v="89.25"/>
        <n v="84"/>
        <n v="80"/>
        <n v="79.8"/>
        <n v="76"/>
        <n v="75.600000000000009"/>
        <n v="73.5"/>
        <n v="72.2"/>
        <n v="70"/>
        <n v="69.825000000000003"/>
        <n v="68"/>
        <n v="60"/>
        <n v="59.85"/>
        <n v="57.75"/>
        <n v="57"/>
        <n v="56.524999999999999"/>
        <n v="55"/>
        <n v="54.15"/>
        <n v="52.25"/>
        <n v="49.637499999999996"/>
        <n v="49.5"/>
        <n v="49.087499999999999"/>
        <n v="47.024999999999999"/>
        <n v="38"/>
        <n v="36.75"/>
        <n v="35.699999999999996"/>
        <n v="35"/>
        <n v="34.912500000000001"/>
        <n v="32.299999999999997"/>
        <n v="31.5"/>
        <n v="20"/>
        <n v="19.95"/>
        <n v="19"/>
        <n v="18"/>
        <n v="17"/>
      </sharedItems>
    </cacheField>
    <cacheField name="Product cost" numFmtId="165">
      <sharedItems containsSemiMixedTypes="0" containsString="0" containsNumber="1" containsInteger="1" minValue="7" maxValue="4730"/>
    </cacheField>
    <cacheField name="Gross Profit" numFmtId="165">
      <sharedItems containsSemiMixedTypes="0" containsString="0" containsNumber="1" minValue="10" maxValue="2402.125"/>
    </cacheField>
    <cacheField name="Gross Margin" numFmtId="10">
      <sharedItems containsSemiMixedTypes="0" containsString="0" containsNumber="1" minValue="0.18075732317218385" maxValue="0.66666666666666663"/>
    </cacheField>
    <cacheField name="Days (Order Date)" numFmtId="0" databaseField="0">
      <fieldGroup base="1">
        <rangePr groupBy="days" startDate="2026-01-02T00:00:00" endDate="2026-06-30T00:00:00"/>
        <groupItems count="368">
          <s v="&lt;02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06/2026"/>
        </groupItems>
      </fieldGroup>
    </cacheField>
    <cacheField name="Months (Order Date)" numFmtId="0" databaseField="0">
      <fieldGroup base="1">
        <rangePr groupBy="months" startDate="2026-01-02T00:00:00" endDate="2026-06-30T00:00:00"/>
        <groupItems count="14">
          <s v="&lt;02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6/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s v="NB10288"/>
    <x v="0"/>
    <s v="P01"/>
    <x v="0"/>
    <s v="Computers"/>
    <x v="0"/>
    <s v="C027"/>
    <s v="Hill Customer 27"/>
    <x v="0"/>
    <x v="0"/>
    <n v="11"/>
    <n v="682.5"/>
    <n v="430"/>
    <n v="0.05"/>
    <x v="0"/>
    <n v="4730"/>
    <n v="2402.125"/>
    <n v="0.33680354732986312"/>
  </r>
  <r>
    <s v="NB10187"/>
    <x v="1"/>
    <s v="P01"/>
    <x v="0"/>
    <s v="Computers"/>
    <x v="1"/>
    <s v="C021"/>
    <s v="Hill Customer 21"/>
    <x v="0"/>
    <x v="0"/>
    <n v="10"/>
    <n v="617.5"/>
    <n v="430"/>
    <n v="0"/>
    <x v="1"/>
    <n v="4300"/>
    <n v="1875"/>
    <n v="0.30364372469635625"/>
  </r>
  <r>
    <s v="NB10229"/>
    <x v="2"/>
    <s v="P01"/>
    <x v="0"/>
    <s v="Computers"/>
    <x v="2"/>
    <s v="C009"/>
    <s v="Hill Customer 09"/>
    <x v="0"/>
    <x v="0"/>
    <n v="8"/>
    <n v="650"/>
    <n v="430"/>
    <n v="0.05"/>
    <x v="2"/>
    <n v="3440"/>
    <n v="1500"/>
    <n v="0.30364372469635625"/>
  </r>
  <r>
    <s v="NB10095"/>
    <x v="3"/>
    <s v="P01"/>
    <x v="0"/>
    <s v="Computers"/>
    <x v="2"/>
    <s v="C027"/>
    <s v="Hill Customer 27"/>
    <x v="0"/>
    <x v="0"/>
    <n v="7"/>
    <n v="682.5"/>
    <n v="430"/>
    <n v="0"/>
    <x v="3"/>
    <n v="3010"/>
    <n v="1767.5"/>
    <n v="0.36996336996336998"/>
  </r>
  <r>
    <s v="NB10008"/>
    <x v="4"/>
    <s v="P01"/>
    <x v="0"/>
    <s v="Computers"/>
    <x v="3"/>
    <s v="C036"/>
    <s v="Oak Customer 36"/>
    <x v="0"/>
    <x v="1"/>
    <n v="7"/>
    <n v="650"/>
    <n v="430"/>
    <n v="0.05"/>
    <x v="4"/>
    <n v="3010"/>
    <n v="1312.5"/>
    <n v="0.30364372469635625"/>
  </r>
  <r>
    <s v="NB10356"/>
    <x v="5"/>
    <s v="P01"/>
    <x v="0"/>
    <s v="Computers"/>
    <x v="1"/>
    <s v="C024"/>
    <s v="Oak Customer 24"/>
    <x v="0"/>
    <x v="0"/>
    <n v="7"/>
    <n v="617.5"/>
    <n v="430"/>
    <n v="0.05"/>
    <x v="5"/>
    <n v="3010"/>
    <n v="1096.375"/>
    <n v="0.26699339441721714"/>
  </r>
  <r>
    <s v="NB10168"/>
    <x v="6"/>
    <s v="P03"/>
    <x v="1"/>
    <s v="Computers"/>
    <x v="2"/>
    <s v="C024"/>
    <s v="Oak Customer 24"/>
    <x v="0"/>
    <x v="1"/>
    <n v="12"/>
    <n v="273"/>
    <n v="155"/>
    <n v="0"/>
    <x v="6"/>
    <n v="1860"/>
    <n v="1416"/>
    <n v="0.43223443223443225"/>
  </r>
  <r>
    <s v="NB10326"/>
    <x v="7"/>
    <s v="P01"/>
    <x v="0"/>
    <s v="Computers"/>
    <x v="0"/>
    <s v="C039"/>
    <s v="Hill Customer 39"/>
    <x v="0"/>
    <x v="0"/>
    <n v="5"/>
    <n v="682.5"/>
    <n v="430"/>
    <n v="0.15"/>
    <x v="7"/>
    <n v="2150"/>
    <n v="750.625"/>
    <n v="0.25878043525102351"/>
  </r>
  <r>
    <s v="NB10045"/>
    <x v="8"/>
    <s v="P01"/>
    <x v="0"/>
    <s v="Computers"/>
    <x v="1"/>
    <s v="C020"/>
    <s v="Cedar Customer 20"/>
    <x v="1"/>
    <x v="0"/>
    <n v="4"/>
    <n v="650"/>
    <n v="430"/>
    <n v="0"/>
    <x v="8"/>
    <n v="1720"/>
    <n v="880"/>
    <n v="0.33846153846153848"/>
  </r>
  <r>
    <s v="NB10292"/>
    <x v="9"/>
    <s v="P01"/>
    <x v="0"/>
    <s v="Computers"/>
    <x v="0"/>
    <s v="C025"/>
    <s v="River Customer 25"/>
    <x v="1"/>
    <x v="2"/>
    <n v="4"/>
    <n v="650"/>
    <n v="430"/>
    <n v="0"/>
    <x v="8"/>
    <n v="1720"/>
    <n v="880"/>
    <n v="0.33846153846153848"/>
  </r>
  <r>
    <s v="NB10328"/>
    <x v="10"/>
    <s v="P01"/>
    <x v="0"/>
    <s v="Computers"/>
    <x v="3"/>
    <s v="C026"/>
    <s v="Cedar Customer 26"/>
    <x v="1"/>
    <x v="1"/>
    <n v="4"/>
    <n v="650"/>
    <n v="430"/>
    <n v="0"/>
    <x v="8"/>
    <n v="1720"/>
    <n v="880"/>
    <n v="0.33846153846153848"/>
  </r>
  <r>
    <s v="NB10218"/>
    <x v="11"/>
    <s v="P01"/>
    <x v="0"/>
    <s v="Computers"/>
    <x v="1"/>
    <s v="C037"/>
    <s v="River Customer 37"/>
    <x v="1"/>
    <x v="1"/>
    <n v="4"/>
    <n v="650"/>
    <n v="430"/>
    <n v="0.05"/>
    <x v="9"/>
    <n v="1720"/>
    <n v="750"/>
    <n v="0.30364372469635625"/>
  </r>
  <r>
    <s v="NB10355"/>
    <x v="12"/>
    <s v="P01"/>
    <x v="0"/>
    <s v="Computers"/>
    <x v="1"/>
    <s v="C034"/>
    <s v="Park Customer 34"/>
    <x v="1"/>
    <x v="0"/>
    <n v="4"/>
    <n v="650"/>
    <n v="430"/>
    <n v="0.05"/>
    <x v="9"/>
    <n v="1720"/>
    <n v="750"/>
    <n v="0.30364372469635625"/>
  </r>
  <r>
    <s v="NB10215"/>
    <x v="0"/>
    <s v="P01"/>
    <x v="0"/>
    <s v="Computers"/>
    <x v="3"/>
    <s v="C005"/>
    <s v="Maple Customer 05"/>
    <x v="1"/>
    <x v="0"/>
    <n v="4"/>
    <n v="682.5"/>
    <n v="430"/>
    <n v="0.1"/>
    <x v="10"/>
    <n v="1720"/>
    <n v="737"/>
    <n v="0.29995929995929999"/>
  </r>
  <r>
    <s v="NB10312"/>
    <x v="13"/>
    <s v="P01"/>
    <x v="0"/>
    <s v="Computers"/>
    <x v="3"/>
    <s v="C028"/>
    <s v="Park Customer 28"/>
    <x v="1"/>
    <x v="3"/>
    <n v="4"/>
    <n v="682.5"/>
    <n v="430"/>
    <n v="0.15"/>
    <x v="11"/>
    <n v="1720"/>
    <n v="600.5"/>
    <n v="0.25878043525102351"/>
  </r>
  <r>
    <s v="NB10025"/>
    <x v="14"/>
    <s v="P01"/>
    <x v="0"/>
    <s v="Computers"/>
    <x v="3"/>
    <s v="C018"/>
    <s v="Oak Customer 18"/>
    <x v="0"/>
    <x v="1"/>
    <n v="4"/>
    <n v="617.5"/>
    <n v="430"/>
    <n v="0.1"/>
    <x v="12"/>
    <n v="1720"/>
    <n v="503"/>
    <n v="0.22627080521817364"/>
  </r>
  <r>
    <s v="NB10100"/>
    <x v="15"/>
    <s v="P02"/>
    <x v="2"/>
    <s v="Computers"/>
    <x v="2"/>
    <s v="C036"/>
    <s v="Oak Customer 36"/>
    <x v="0"/>
    <x v="3"/>
    <n v="12"/>
    <n v="180"/>
    <n v="95"/>
    <n v="0"/>
    <x v="13"/>
    <n v="1140"/>
    <n v="1020"/>
    <n v="0.47222222222222221"/>
  </r>
  <r>
    <s v="NB10050"/>
    <x v="16"/>
    <s v="P01"/>
    <x v="0"/>
    <s v="Computers"/>
    <x v="3"/>
    <s v="C005"/>
    <s v="Maple Customer 05"/>
    <x v="1"/>
    <x v="1"/>
    <n v="4"/>
    <n v="617.5"/>
    <n v="430"/>
    <n v="0.15"/>
    <x v="14"/>
    <n v="1720"/>
    <n v="379.5"/>
    <n v="0.18075732317218385"/>
  </r>
  <r>
    <s v="NB10054"/>
    <x v="17"/>
    <s v="P01"/>
    <x v="0"/>
    <s v="Computers"/>
    <x v="0"/>
    <s v="C037"/>
    <s v="River Customer 37"/>
    <x v="1"/>
    <x v="2"/>
    <n v="3"/>
    <n v="682.5"/>
    <n v="430"/>
    <n v="0"/>
    <x v="15"/>
    <n v="1290"/>
    <n v="757.5"/>
    <n v="0.36996336996336998"/>
  </r>
  <r>
    <s v="NB10172"/>
    <x v="18"/>
    <s v="P07"/>
    <x v="3"/>
    <s v="Furniture"/>
    <x v="1"/>
    <s v="C003"/>
    <s v="Hill Customer 03"/>
    <x v="0"/>
    <x v="2"/>
    <n v="12"/>
    <n v="170"/>
    <n v="95"/>
    <n v="0"/>
    <x v="16"/>
    <n v="1140"/>
    <n v="900"/>
    <n v="0.44117647058823528"/>
  </r>
  <r>
    <s v="NB10119"/>
    <x v="19"/>
    <s v="P01"/>
    <x v="0"/>
    <s v="Computers"/>
    <x v="3"/>
    <s v="C019"/>
    <s v="River Customer 19"/>
    <x v="1"/>
    <x v="2"/>
    <n v="3"/>
    <n v="650"/>
    <n v="430"/>
    <n v="0"/>
    <x v="17"/>
    <n v="1290"/>
    <n v="660"/>
    <n v="0.33846153846153848"/>
  </r>
  <r>
    <s v="NB10155"/>
    <x v="20"/>
    <s v="P01"/>
    <x v="0"/>
    <s v="Computers"/>
    <x v="2"/>
    <s v="C034"/>
    <s v="Park Customer 34"/>
    <x v="1"/>
    <x v="2"/>
    <n v="3"/>
    <n v="650"/>
    <n v="430"/>
    <n v="0"/>
    <x v="17"/>
    <n v="1290"/>
    <n v="660"/>
    <n v="0.33846153846153848"/>
  </r>
  <r>
    <s v="NB10246"/>
    <x v="21"/>
    <s v="P01"/>
    <x v="0"/>
    <s v="Computers"/>
    <x v="2"/>
    <s v="C034"/>
    <s v="Park Customer 34"/>
    <x v="1"/>
    <x v="1"/>
    <n v="3"/>
    <n v="650"/>
    <n v="430"/>
    <n v="0"/>
    <x v="17"/>
    <n v="1290"/>
    <n v="660"/>
    <n v="0.33846153846153848"/>
  </r>
  <r>
    <s v="NB10305"/>
    <x v="22"/>
    <s v="P01"/>
    <x v="0"/>
    <s v="Computers"/>
    <x v="2"/>
    <s v="C037"/>
    <s v="River Customer 37"/>
    <x v="1"/>
    <x v="1"/>
    <n v="3"/>
    <n v="650"/>
    <n v="430"/>
    <n v="0"/>
    <x v="17"/>
    <n v="1290"/>
    <n v="660"/>
    <n v="0.33846153846153848"/>
  </r>
  <r>
    <s v="NB10028"/>
    <x v="23"/>
    <s v="P01"/>
    <x v="0"/>
    <s v="Computers"/>
    <x v="0"/>
    <s v="C013"/>
    <s v="River Customer 13"/>
    <x v="1"/>
    <x v="3"/>
    <n v="3"/>
    <n v="682.5"/>
    <n v="430"/>
    <n v="0.05"/>
    <x v="18"/>
    <n v="1290"/>
    <n v="655.125"/>
    <n v="0.33680354732986312"/>
  </r>
  <r>
    <s v="NB10180"/>
    <x v="24"/>
    <s v="P01"/>
    <x v="0"/>
    <s v="Computers"/>
    <x v="0"/>
    <s v="C039"/>
    <s v="Hill Customer 39"/>
    <x v="0"/>
    <x v="3"/>
    <n v="3"/>
    <n v="682.5"/>
    <n v="430"/>
    <n v="0.05"/>
    <x v="18"/>
    <n v="1290"/>
    <n v="655.125"/>
    <n v="0.33680354732986312"/>
  </r>
  <r>
    <s v="NB10044"/>
    <x v="25"/>
    <s v="P07"/>
    <x v="3"/>
    <s v="Furniture"/>
    <x v="1"/>
    <s v="C006"/>
    <s v="Oak Customer 06"/>
    <x v="0"/>
    <x v="2"/>
    <n v="11"/>
    <n v="170"/>
    <n v="95"/>
    <n v="0"/>
    <x v="19"/>
    <n v="1045"/>
    <n v="825"/>
    <n v="0.44117647058823528"/>
  </r>
  <r>
    <s v="NB10197"/>
    <x v="26"/>
    <s v="P07"/>
    <x v="3"/>
    <s v="Furniture"/>
    <x v="3"/>
    <s v="C021"/>
    <s v="Hill Customer 21"/>
    <x v="0"/>
    <x v="0"/>
    <n v="11"/>
    <n v="170"/>
    <n v="95"/>
    <n v="0"/>
    <x v="19"/>
    <n v="1045"/>
    <n v="825"/>
    <n v="0.44117647058823528"/>
  </r>
  <r>
    <s v="NB10048"/>
    <x v="27"/>
    <s v="P03"/>
    <x v="1"/>
    <s v="Computers"/>
    <x v="0"/>
    <s v="C006"/>
    <s v="Oak Customer 06"/>
    <x v="0"/>
    <x v="0"/>
    <n v="7"/>
    <n v="260"/>
    <n v="155"/>
    <n v="0"/>
    <x v="20"/>
    <n v="1085"/>
    <n v="735"/>
    <n v="0.40384615384615385"/>
  </r>
  <r>
    <s v="NB10301"/>
    <x v="0"/>
    <s v="P07"/>
    <x v="3"/>
    <s v="Furniture"/>
    <x v="3"/>
    <s v="C006"/>
    <s v="Oak Customer 06"/>
    <x v="0"/>
    <x v="1"/>
    <n v="11"/>
    <n v="170"/>
    <n v="95"/>
    <n v="0.05"/>
    <x v="21"/>
    <n v="1045"/>
    <n v="731.5"/>
    <n v="0.41176470588235292"/>
  </r>
  <r>
    <s v="NB10127"/>
    <x v="28"/>
    <s v="P03"/>
    <x v="1"/>
    <s v="Computers"/>
    <x v="2"/>
    <s v="C027"/>
    <s v="Hill Customer 27"/>
    <x v="0"/>
    <x v="1"/>
    <n v="8"/>
    <n v="260"/>
    <n v="155"/>
    <n v="0.15"/>
    <x v="22"/>
    <n v="1240"/>
    <n v="528"/>
    <n v="0.29864253393665158"/>
  </r>
  <r>
    <s v="NB10261"/>
    <x v="29"/>
    <s v="P01"/>
    <x v="0"/>
    <s v="Computers"/>
    <x v="2"/>
    <s v="C029"/>
    <s v="Maple Customer 29"/>
    <x v="1"/>
    <x v="0"/>
    <n v="3"/>
    <n v="682.5"/>
    <n v="430"/>
    <n v="0.15"/>
    <x v="23"/>
    <n v="1290"/>
    <n v="450.375"/>
    <n v="0.25878043525102351"/>
  </r>
  <r>
    <s v="NB10036"/>
    <x v="11"/>
    <s v="P03"/>
    <x v="1"/>
    <s v="Computers"/>
    <x v="1"/>
    <s v="C036"/>
    <s v="Oak Customer 36"/>
    <x v="0"/>
    <x v="0"/>
    <n v="7"/>
    <n v="247"/>
    <n v="155"/>
    <n v="0"/>
    <x v="24"/>
    <n v="1085"/>
    <n v="644"/>
    <n v="0.37246963562753038"/>
  </r>
  <r>
    <s v="NB10353"/>
    <x v="30"/>
    <s v="P02"/>
    <x v="2"/>
    <s v="Computers"/>
    <x v="3"/>
    <s v="C039"/>
    <s v="Hill Customer 39"/>
    <x v="0"/>
    <x v="1"/>
    <n v="9"/>
    <n v="189"/>
    <n v="95"/>
    <n v="0"/>
    <x v="25"/>
    <n v="855"/>
    <n v="846"/>
    <n v="0.49735449735449733"/>
  </r>
  <r>
    <s v="NB10231"/>
    <x v="31"/>
    <s v="P01"/>
    <x v="0"/>
    <s v="Computers"/>
    <x v="2"/>
    <s v="C001"/>
    <s v="River Customer 01"/>
    <x v="1"/>
    <x v="3"/>
    <n v="3"/>
    <n v="617.5"/>
    <n v="430"/>
    <n v="0.1"/>
    <x v="26"/>
    <n v="1290"/>
    <n v="377.25"/>
    <n v="0.22627080521817364"/>
  </r>
  <r>
    <s v="NB10071"/>
    <x v="32"/>
    <s v="P01"/>
    <x v="0"/>
    <s v="Computers"/>
    <x v="1"/>
    <s v="C040"/>
    <s v="Park Customer 40"/>
    <x v="1"/>
    <x v="2"/>
    <n v="3"/>
    <n v="650"/>
    <n v="430"/>
    <n v="0.15"/>
    <x v="27"/>
    <n v="1290"/>
    <n v="367.5"/>
    <n v="0.22171945701357465"/>
  </r>
  <r>
    <s v="NB10015"/>
    <x v="33"/>
    <s v="P07"/>
    <x v="3"/>
    <s v="Furniture"/>
    <x v="0"/>
    <s v="C015"/>
    <s v="Hill Customer 15"/>
    <x v="0"/>
    <x v="2"/>
    <n v="10"/>
    <n v="170"/>
    <n v="95"/>
    <n v="0.05"/>
    <x v="28"/>
    <n v="950"/>
    <n v="665"/>
    <n v="0.41176470588235292"/>
  </r>
  <r>
    <s v="NB10017"/>
    <x v="34"/>
    <s v="P07"/>
    <x v="3"/>
    <s v="Furniture"/>
    <x v="0"/>
    <s v="C018"/>
    <s v="Oak Customer 18"/>
    <x v="0"/>
    <x v="3"/>
    <n v="11"/>
    <n v="170"/>
    <n v="95"/>
    <n v="0.15"/>
    <x v="29"/>
    <n v="1045"/>
    <n v="544.5"/>
    <n v="0.34256055363321797"/>
  </r>
  <r>
    <s v="NB10251"/>
    <x v="35"/>
    <s v="P02"/>
    <x v="2"/>
    <s v="Computers"/>
    <x v="3"/>
    <s v="C039"/>
    <s v="Hill Customer 39"/>
    <x v="0"/>
    <x v="2"/>
    <n v="9"/>
    <n v="180"/>
    <n v="95"/>
    <n v="0.05"/>
    <x v="30"/>
    <n v="855"/>
    <n v="684"/>
    <n v="0.44444444444444442"/>
  </r>
  <r>
    <s v="NB10150"/>
    <x v="36"/>
    <s v="P07"/>
    <x v="3"/>
    <s v="Furniture"/>
    <x v="1"/>
    <s v="C033"/>
    <s v="Hill Customer 33"/>
    <x v="0"/>
    <x v="3"/>
    <n v="9"/>
    <n v="170"/>
    <n v="95"/>
    <n v="0"/>
    <x v="31"/>
    <n v="855"/>
    <n v="675"/>
    <n v="0.44117647058823528"/>
  </r>
  <r>
    <s v="NB10173"/>
    <x v="37"/>
    <s v="P07"/>
    <x v="3"/>
    <s v="Furniture"/>
    <x v="1"/>
    <s v="C027"/>
    <s v="Hill Customer 27"/>
    <x v="0"/>
    <x v="0"/>
    <n v="9"/>
    <n v="170"/>
    <n v="95"/>
    <n v="0"/>
    <x v="31"/>
    <n v="855"/>
    <n v="675"/>
    <n v="0.44117647058823528"/>
  </r>
  <r>
    <s v="NB10252"/>
    <x v="38"/>
    <s v="P07"/>
    <x v="3"/>
    <s v="Furniture"/>
    <x v="3"/>
    <s v="C030"/>
    <s v="Oak Customer 30"/>
    <x v="0"/>
    <x v="0"/>
    <n v="10"/>
    <n v="170"/>
    <n v="95"/>
    <n v="0.1"/>
    <x v="31"/>
    <n v="950"/>
    <n v="580"/>
    <n v="0.37908496732026142"/>
  </r>
  <r>
    <s v="NB10121"/>
    <x v="39"/>
    <s v="P02"/>
    <x v="2"/>
    <s v="Computers"/>
    <x v="1"/>
    <s v="C033"/>
    <s v="Hill Customer 33"/>
    <x v="0"/>
    <x v="2"/>
    <n v="8"/>
    <n v="189"/>
    <n v="95"/>
    <n v="0"/>
    <x v="32"/>
    <n v="760"/>
    <n v="752"/>
    <n v="0.49735449735449733"/>
  </r>
  <r>
    <s v="NB10202"/>
    <x v="3"/>
    <s v="P07"/>
    <x v="3"/>
    <s v="Furniture"/>
    <x v="1"/>
    <s v="C027"/>
    <s v="Hill Customer 27"/>
    <x v="0"/>
    <x v="2"/>
    <n v="9"/>
    <n v="170"/>
    <n v="95"/>
    <n v="0.05"/>
    <x v="33"/>
    <n v="855"/>
    <n v="598.5"/>
    <n v="0.41176470588235292"/>
  </r>
  <r>
    <s v="NB10001"/>
    <x v="40"/>
    <s v="P08"/>
    <x v="4"/>
    <s v="Furniture"/>
    <x v="2"/>
    <s v="C027"/>
    <s v="Hill Customer 27"/>
    <x v="0"/>
    <x v="0"/>
    <n v="11"/>
    <n v="130"/>
    <n v="65"/>
    <n v="0"/>
    <x v="34"/>
    <n v="715"/>
    <n v="715"/>
    <n v="0.5"/>
  </r>
  <r>
    <s v="NB10006"/>
    <x v="41"/>
    <s v="P01"/>
    <x v="0"/>
    <s v="Computers"/>
    <x v="3"/>
    <s v="C016"/>
    <s v="Park Customer 16"/>
    <x v="1"/>
    <x v="3"/>
    <n v="2"/>
    <n v="682.5"/>
    <n v="430"/>
    <n v="0"/>
    <x v="35"/>
    <n v="860"/>
    <n v="505"/>
    <n v="0.36996336996336998"/>
  </r>
  <r>
    <s v="NB10088"/>
    <x v="42"/>
    <s v="P01"/>
    <x v="0"/>
    <s v="Computers"/>
    <x v="0"/>
    <s v="C019"/>
    <s v="River Customer 19"/>
    <x v="1"/>
    <x v="0"/>
    <n v="2"/>
    <n v="682.5"/>
    <n v="430"/>
    <n v="0"/>
    <x v="35"/>
    <n v="860"/>
    <n v="505"/>
    <n v="0.36996336996336998"/>
  </r>
  <r>
    <s v="NB10144"/>
    <x v="22"/>
    <s v="P03"/>
    <x v="1"/>
    <s v="Computers"/>
    <x v="0"/>
    <s v="C006"/>
    <s v="Oak Customer 06"/>
    <x v="0"/>
    <x v="2"/>
    <n v="5"/>
    <n v="273"/>
    <n v="155"/>
    <n v="0"/>
    <x v="35"/>
    <n v="775"/>
    <n v="590"/>
    <n v="0.43223443223443225"/>
  </r>
  <r>
    <s v="NB10280"/>
    <x v="43"/>
    <s v="P01"/>
    <x v="0"/>
    <s v="Computers"/>
    <x v="1"/>
    <s v="C022"/>
    <s v="Park Customer 22"/>
    <x v="1"/>
    <x v="3"/>
    <n v="2"/>
    <n v="682.5"/>
    <n v="430"/>
    <n v="0"/>
    <x v="35"/>
    <n v="860"/>
    <n v="505"/>
    <n v="0.36996336996336998"/>
  </r>
  <r>
    <s v="NB10359"/>
    <x v="44"/>
    <s v="P08"/>
    <x v="4"/>
    <s v="Furniture"/>
    <x v="0"/>
    <s v="C018"/>
    <s v="Oak Customer 18"/>
    <x v="0"/>
    <x v="2"/>
    <n v="12"/>
    <n v="130"/>
    <n v="65"/>
    <n v="0.15"/>
    <x v="36"/>
    <n v="780"/>
    <n v="546"/>
    <n v="0.41176470588235292"/>
  </r>
  <r>
    <s v="NB10103"/>
    <x v="15"/>
    <s v="P01"/>
    <x v="0"/>
    <s v="Computers"/>
    <x v="1"/>
    <s v="C019"/>
    <s v="River Customer 19"/>
    <x v="1"/>
    <x v="1"/>
    <n v="2"/>
    <n v="650"/>
    <n v="430"/>
    <n v="0"/>
    <x v="37"/>
    <n v="860"/>
    <n v="440"/>
    <n v="0.33846153846153848"/>
  </r>
  <r>
    <s v="NB10137"/>
    <x v="27"/>
    <s v="P01"/>
    <x v="0"/>
    <s v="Computers"/>
    <x v="3"/>
    <s v="C006"/>
    <s v="Oak Customer 06"/>
    <x v="0"/>
    <x v="1"/>
    <n v="2"/>
    <n v="650"/>
    <n v="430"/>
    <n v="0"/>
    <x v="37"/>
    <n v="860"/>
    <n v="440"/>
    <n v="0.33846153846153848"/>
  </r>
  <r>
    <s v="NB10278"/>
    <x v="31"/>
    <s v="P01"/>
    <x v="0"/>
    <s v="Computers"/>
    <x v="1"/>
    <s v="C008"/>
    <s v="Cedar Customer 08"/>
    <x v="1"/>
    <x v="0"/>
    <n v="2"/>
    <n v="650"/>
    <n v="430"/>
    <n v="0"/>
    <x v="37"/>
    <n v="860"/>
    <n v="440"/>
    <n v="0.33846153846153848"/>
  </r>
  <r>
    <s v="NB10315"/>
    <x v="45"/>
    <s v="P01"/>
    <x v="0"/>
    <s v="Computers"/>
    <x v="1"/>
    <s v="C016"/>
    <s v="Park Customer 16"/>
    <x v="1"/>
    <x v="1"/>
    <n v="2"/>
    <n v="650"/>
    <n v="430"/>
    <n v="0"/>
    <x v="37"/>
    <n v="860"/>
    <n v="440"/>
    <n v="0.33846153846153848"/>
  </r>
  <r>
    <s v="NB10153"/>
    <x v="46"/>
    <s v="P02"/>
    <x v="2"/>
    <s v="Computers"/>
    <x v="3"/>
    <s v="C018"/>
    <s v="Oak Customer 18"/>
    <x v="0"/>
    <x v="0"/>
    <n v="7"/>
    <n v="180"/>
    <n v="95"/>
    <n v="0"/>
    <x v="38"/>
    <n v="665"/>
    <n v="595"/>
    <n v="0.47222222222222221"/>
  </r>
  <r>
    <s v="NB10201"/>
    <x v="47"/>
    <s v="P02"/>
    <x v="2"/>
    <s v="Computers"/>
    <x v="0"/>
    <s v="C027"/>
    <s v="Hill Customer 27"/>
    <x v="0"/>
    <x v="1"/>
    <n v="7"/>
    <n v="180"/>
    <n v="95"/>
    <n v="0"/>
    <x v="38"/>
    <n v="665"/>
    <n v="595"/>
    <n v="0.47222222222222221"/>
  </r>
  <r>
    <s v="NB10005"/>
    <x v="48"/>
    <s v="P01"/>
    <x v="0"/>
    <s v="Computers"/>
    <x v="1"/>
    <s v="C019"/>
    <s v="River Customer 19"/>
    <x v="1"/>
    <x v="3"/>
    <n v="2"/>
    <n v="617.5"/>
    <n v="430"/>
    <n v="0"/>
    <x v="39"/>
    <n v="860"/>
    <n v="375"/>
    <n v="0.30364372469635625"/>
  </r>
  <r>
    <s v="NB10012"/>
    <x v="49"/>
    <s v="P01"/>
    <x v="0"/>
    <s v="Computers"/>
    <x v="2"/>
    <s v="C035"/>
    <s v="Maple Customer 35"/>
    <x v="1"/>
    <x v="1"/>
    <n v="2"/>
    <n v="650"/>
    <n v="430"/>
    <n v="0.05"/>
    <x v="39"/>
    <n v="860"/>
    <n v="375"/>
    <n v="0.30364372469635625"/>
  </r>
  <r>
    <s v="NB10081"/>
    <x v="50"/>
    <s v="P01"/>
    <x v="0"/>
    <s v="Computers"/>
    <x v="1"/>
    <s v="C020"/>
    <s v="Cedar Customer 20"/>
    <x v="1"/>
    <x v="0"/>
    <n v="2"/>
    <n v="650"/>
    <n v="430"/>
    <n v="0.05"/>
    <x v="39"/>
    <n v="860"/>
    <n v="375"/>
    <n v="0.30364372469635625"/>
  </r>
  <r>
    <s v="NB10342"/>
    <x v="51"/>
    <s v="P01"/>
    <x v="0"/>
    <s v="Computers"/>
    <x v="0"/>
    <s v="C004"/>
    <s v="Park Customer 04"/>
    <x v="1"/>
    <x v="0"/>
    <n v="2"/>
    <n v="617.5"/>
    <n v="430"/>
    <n v="0"/>
    <x v="39"/>
    <n v="860"/>
    <n v="375"/>
    <n v="0.30364372469635625"/>
  </r>
  <r>
    <s v="NB10111"/>
    <x v="52"/>
    <s v="P01"/>
    <x v="0"/>
    <s v="Computers"/>
    <x v="0"/>
    <s v="C002"/>
    <s v="Cedar Customer 02"/>
    <x v="1"/>
    <x v="0"/>
    <n v="2"/>
    <n v="682.5"/>
    <n v="430"/>
    <n v="0.1"/>
    <x v="40"/>
    <n v="860"/>
    <n v="368.5"/>
    <n v="0.29995929995929999"/>
  </r>
  <r>
    <s v="NB10212"/>
    <x v="53"/>
    <s v="P01"/>
    <x v="0"/>
    <s v="Computers"/>
    <x v="3"/>
    <s v="C003"/>
    <s v="Hill Customer 03"/>
    <x v="0"/>
    <x v="1"/>
    <n v="2"/>
    <n v="682.5"/>
    <n v="430"/>
    <n v="0.1"/>
    <x v="40"/>
    <n v="860"/>
    <n v="368.5"/>
    <n v="0.29995929995929999"/>
  </r>
  <r>
    <s v="NB10296"/>
    <x v="54"/>
    <s v="P08"/>
    <x v="4"/>
    <s v="Furniture"/>
    <x v="2"/>
    <s v="C006"/>
    <s v="Oak Customer 06"/>
    <x v="0"/>
    <x v="2"/>
    <n v="11"/>
    <n v="130"/>
    <n v="65"/>
    <n v="0.15"/>
    <x v="41"/>
    <n v="715"/>
    <n v="500.5"/>
    <n v="0.41176470588235292"/>
  </r>
  <r>
    <s v="NB10113"/>
    <x v="7"/>
    <s v="P07"/>
    <x v="3"/>
    <s v="Furniture"/>
    <x v="2"/>
    <s v="C009"/>
    <s v="Hill Customer 09"/>
    <x v="0"/>
    <x v="0"/>
    <n v="7"/>
    <n v="170"/>
    <n v="95"/>
    <n v="0"/>
    <x v="42"/>
    <n v="665"/>
    <n v="525"/>
    <n v="0.44117647058823528"/>
  </r>
  <r>
    <s v="NB10174"/>
    <x v="55"/>
    <s v="P01"/>
    <x v="0"/>
    <s v="Computers"/>
    <x v="0"/>
    <s v="C035"/>
    <s v="Maple Customer 35"/>
    <x v="1"/>
    <x v="3"/>
    <n v="2"/>
    <n v="617.5"/>
    <n v="430"/>
    <n v="0.05"/>
    <x v="43"/>
    <n v="860"/>
    <n v="313.25"/>
    <n v="0.26699339441721714"/>
  </r>
  <r>
    <s v="NB10031"/>
    <x v="10"/>
    <s v="P01"/>
    <x v="0"/>
    <s v="Computers"/>
    <x v="0"/>
    <s v="C002"/>
    <s v="Cedar Customer 02"/>
    <x v="1"/>
    <x v="1"/>
    <n v="2"/>
    <n v="650"/>
    <n v="430"/>
    <n v="0.1"/>
    <x v="44"/>
    <n v="860"/>
    <n v="310"/>
    <n v="0.26495726495726496"/>
  </r>
  <r>
    <s v="NB10236"/>
    <x v="56"/>
    <s v="P03"/>
    <x v="1"/>
    <s v="Computers"/>
    <x v="2"/>
    <s v="C018"/>
    <s v="Oak Customer 18"/>
    <x v="0"/>
    <x v="2"/>
    <n v="5"/>
    <n v="260"/>
    <n v="155"/>
    <n v="0.1"/>
    <x v="44"/>
    <n v="775"/>
    <n v="395"/>
    <n v="0.33760683760683763"/>
  </r>
  <r>
    <s v="NB10056"/>
    <x v="19"/>
    <s v="P01"/>
    <x v="0"/>
    <s v="Computers"/>
    <x v="1"/>
    <s v="C005"/>
    <s v="Maple Customer 05"/>
    <x v="1"/>
    <x v="3"/>
    <n v="2"/>
    <n v="617.5"/>
    <n v="430"/>
    <n v="0.1"/>
    <x v="45"/>
    <n v="860"/>
    <n v="251.5"/>
    <n v="0.22627080521817364"/>
  </r>
  <r>
    <s v="NB10117"/>
    <x v="57"/>
    <s v="P01"/>
    <x v="0"/>
    <s v="Computers"/>
    <x v="1"/>
    <s v="C023"/>
    <s v="Maple Customer 23"/>
    <x v="1"/>
    <x v="1"/>
    <n v="2"/>
    <n v="617.5"/>
    <n v="430"/>
    <n v="0.15"/>
    <x v="46"/>
    <n v="860"/>
    <n v="189.75"/>
    <n v="0.18075732317218385"/>
  </r>
  <r>
    <s v="NB10120"/>
    <x v="58"/>
    <s v="P03"/>
    <x v="1"/>
    <s v="Computers"/>
    <x v="2"/>
    <s v="C004"/>
    <s v="Park Customer 04"/>
    <x v="1"/>
    <x v="1"/>
    <n v="4"/>
    <n v="260"/>
    <n v="155"/>
    <n v="0"/>
    <x v="47"/>
    <n v="620"/>
    <n v="420"/>
    <n v="0.40384615384615385"/>
  </r>
  <r>
    <s v="NB10190"/>
    <x v="59"/>
    <s v="P03"/>
    <x v="1"/>
    <s v="Computers"/>
    <x v="3"/>
    <s v="C036"/>
    <s v="Oak Customer 36"/>
    <x v="0"/>
    <x v="2"/>
    <n v="4"/>
    <n v="260"/>
    <n v="155"/>
    <n v="0"/>
    <x v="47"/>
    <n v="620"/>
    <n v="420"/>
    <n v="0.40384615384615385"/>
  </r>
  <r>
    <s v="NB10259"/>
    <x v="60"/>
    <s v="P03"/>
    <x v="1"/>
    <s v="Computers"/>
    <x v="0"/>
    <s v="C032"/>
    <s v="Cedar Customer 32"/>
    <x v="1"/>
    <x v="1"/>
    <n v="4"/>
    <n v="260"/>
    <n v="155"/>
    <n v="0"/>
    <x v="47"/>
    <n v="620"/>
    <n v="420"/>
    <n v="0.40384615384615385"/>
  </r>
  <r>
    <s v="NB10205"/>
    <x v="61"/>
    <s v="P03"/>
    <x v="1"/>
    <s v="Computers"/>
    <x v="2"/>
    <s v="C020"/>
    <s v="Cedar Customer 20"/>
    <x v="1"/>
    <x v="1"/>
    <n v="4"/>
    <n v="273"/>
    <n v="155"/>
    <n v="0.05"/>
    <x v="48"/>
    <n v="620"/>
    <n v="417.39999999999986"/>
    <n v="0.40235203393098123"/>
  </r>
  <r>
    <s v="NB10098"/>
    <x v="62"/>
    <s v="P07"/>
    <x v="3"/>
    <s v="Furniture"/>
    <x v="0"/>
    <s v="C003"/>
    <s v="Hill Customer 03"/>
    <x v="0"/>
    <x v="0"/>
    <n v="7"/>
    <n v="170"/>
    <n v="95"/>
    <n v="0.15"/>
    <x v="49"/>
    <n v="665"/>
    <n v="346.5"/>
    <n v="0.34256055363321797"/>
  </r>
  <r>
    <s v="NB10136"/>
    <x v="63"/>
    <s v="P03"/>
    <x v="1"/>
    <s v="Computers"/>
    <x v="3"/>
    <s v="C026"/>
    <s v="Cedar Customer 26"/>
    <x v="1"/>
    <x v="0"/>
    <n v="4"/>
    <n v="247"/>
    <n v="155"/>
    <n v="0"/>
    <x v="50"/>
    <n v="620"/>
    <n v="368"/>
    <n v="0.37246963562753038"/>
  </r>
  <r>
    <s v="NB10323"/>
    <x v="64"/>
    <s v="P03"/>
    <x v="1"/>
    <s v="Computers"/>
    <x v="0"/>
    <s v="C026"/>
    <s v="Cedar Customer 26"/>
    <x v="1"/>
    <x v="2"/>
    <n v="4"/>
    <n v="247"/>
    <n v="155"/>
    <n v="0"/>
    <x v="50"/>
    <n v="620"/>
    <n v="368"/>
    <n v="0.37246963562753038"/>
  </r>
  <r>
    <s v="NB10350"/>
    <x v="65"/>
    <s v="P03"/>
    <x v="1"/>
    <s v="Computers"/>
    <x v="2"/>
    <s v="C002"/>
    <s v="Cedar Customer 02"/>
    <x v="1"/>
    <x v="2"/>
    <n v="4"/>
    <n v="247"/>
    <n v="155"/>
    <n v="0"/>
    <x v="50"/>
    <n v="620"/>
    <n v="368"/>
    <n v="0.37246963562753038"/>
  </r>
  <r>
    <s v="NB10035"/>
    <x v="66"/>
    <s v="P03"/>
    <x v="1"/>
    <s v="Computers"/>
    <x v="0"/>
    <s v="C025"/>
    <s v="River Customer 25"/>
    <x v="1"/>
    <x v="1"/>
    <n v="4"/>
    <n v="260"/>
    <n v="155"/>
    <n v="0.1"/>
    <x v="51"/>
    <n v="620"/>
    <n v="316"/>
    <n v="0.33760683760683763"/>
  </r>
  <r>
    <s v="NB10282"/>
    <x v="0"/>
    <s v="P03"/>
    <x v="1"/>
    <s v="Computers"/>
    <x v="3"/>
    <s v="C039"/>
    <s v="Hill Customer 39"/>
    <x v="0"/>
    <x v="1"/>
    <n v="4"/>
    <n v="273"/>
    <n v="155"/>
    <n v="0.15"/>
    <x v="52"/>
    <n v="620"/>
    <n v="308.19999999999993"/>
    <n v="0.33204050851109668"/>
  </r>
  <r>
    <s v="NB10314"/>
    <x v="22"/>
    <s v="P03"/>
    <x v="1"/>
    <s v="Computers"/>
    <x v="1"/>
    <s v="C011"/>
    <s v="Maple Customer 11"/>
    <x v="1"/>
    <x v="0"/>
    <n v="4"/>
    <n v="273"/>
    <n v="155"/>
    <n v="0.15"/>
    <x v="52"/>
    <n v="620"/>
    <n v="308.19999999999993"/>
    <n v="0.33204050851109668"/>
  </r>
  <r>
    <s v="NB10019"/>
    <x v="67"/>
    <s v="P03"/>
    <x v="1"/>
    <s v="Computers"/>
    <x v="2"/>
    <s v="C033"/>
    <s v="Hill Customer 33"/>
    <x v="0"/>
    <x v="0"/>
    <n v="4"/>
    <n v="260"/>
    <n v="155"/>
    <n v="0.15"/>
    <x v="53"/>
    <n v="620"/>
    <n v="264"/>
    <n v="0.29864253393665158"/>
  </r>
  <r>
    <s v="NB10143"/>
    <x v="68"/>
    <s v="P07"/>
    <x v="3"/>
    <s v="Furniture"/>
    <x v="1"/>
    <s v="C009"/>
    <s v="Hill Customer 09"/>
    <x v="0"/>
    <x v="3"/>
    <n v="6"/>
    <n v="170"/>
    <n v="95"/>
    <n v="0.15"/>
    <x v="54"/>
    <n v="570"/>
    <n v="297"/>
    <n v="0.34256055363321797"/>
  </r>
  <r>
    <s v="NB10293"/>
    <x v="69"/>
    <s v="P08"/>
    <x v="4"/>
    <s v="Furniture"/>
    <x v="2"/>
    <s v="C018"/>
    <s v="Oak Customer 18"/>
    <x v="0"/>
    <x v="3"/>
    <n v="8"/>
    <n v="123.5"/>
    <n v="65"/>
    <n v="0.15"/>
    <x v="55"/>
    <n v="520"/>
    <n v="319.79999999999995"/>
    <n v="0.38080495356037147"/>
  </r>
  <r>
    <s v="NB10016"/>
    <x v="70"/>
    <s v="P03"/>
    <x v="1"/>
    <s v="Computers"/>
    <x v="1"/>
    <s v="C035"/>
    <s v="Maple Customer 35"/>
    <x v="1"/>
    <x v="3"/>
    <n v="3"/>
    <n v="273"/>
    <n v="155"/>
    <n v="0"/>
    <x v="56"/>
    <n v="465"/>
    <n v="354"/>
    <n v="0.43223443223443225"/>
  </r>
  <r>
    <s v="NB10112"/>
    <x v="19"/>
    <s v="P08"/>
    <x v="4"/>
    <s v="Furniture"/>
    <x v="2"/>
    <s v="C012"/>
    <s v="Oak Customer 12"/>
    <x v="0"/>
    <x v="4"/>
    <n v="7"/>
    <n v="130"/>
    <n v="65"/>
    <n v="0.1"/>
    <x v="56"/>
    <n v="455"/>
    <n v="364"/>
    <n v="0.44444444444444442"/>
  </r>
  <r>
    <s v="NB10189"/>
    <x v="71"/>
    <s v="P03"/>
    <x v="1"/>
    <s v="Computers"/>
    <x v="3"/>
    <s v="C029"/>
    <s v="Maple Customer 29"/>
    <x v="1"/>
    <x v="1"/>
    <n v="3"/>
    <n v="273"/>
    <n v="155"/>
    <n v="0"/>
    <x v="56"/>
    <n v="465"/>
    <n v="354"/>
    <n v="0.43223443223443225"/>
  </r>
  <r>
    <s v="NB10256"/>
    <x v="72"/>
    <s v="P03"/>
    <x v="1"/>
    <s v="Computers"/>
    <x v="0"/>
    <s v="C030"/>
    <s v="Oak Customer 30"/>
    <x v="0"/>
    <x v="1"/>
    <n v="3"/>
    <n v="273"/>
    <n v="155"/>
    <n v="0"/>
    <x v="56"/>
    <n v="465"/>
    <n v="354"/>
    <n v="0.43223443223443225"/>
  </r>
  <r>
    <s v="NB10221"/>
    <x v="73"/>
    <s v="P02"/>
    <x v="2"/>
    <s v="Computers"/>
    <x v="0"/>
    <s v="C012"/>
    <s v="Oak Customer 12"/>
    <x v="0"/>
    <x v="2"/>
    <n v="5"/>
    <n v="180"/>
    <n v="95"/>
    <n v="0.1"/>
    <x v="57"/>
    <n v="475"/>
    <n v="335"/>
    <n v="0.41358024691358025"/>
  </r>
  <r>
    <s v="NB10260"/>
    <x v="15"/>
    <s v="P07"/>
    <x v="3"/>
    <s v="Furniture"/>
    <x v="1"/>
    <s v="C003"/>
    <s v="Hill Customer 03"/>
    <x v="0"/>
    <x v="0"/>
    <n v="5"/>
    <n v="170"/>
    <n v="95"/>
    <n v="0.05"/>
    <x v="58"/>
    <n v="475"/>
    <n v="332.5"/>
    <n v="0.41176470588235292"/>
  </r>
  <r>
    <s v="NB10164"/>
    <x v="74"/>
    <s v="P03"/>
    <x v="1"/>
    <s v="Computers"/>
    <x v="3"/>
    <s v="C002"/>
    <s v="Cedar Customer 02"/>
    <x v="1"/>
    <x v="0"/>
    <n v="3"/>
    <n v="260"/>
    <n v="155"/>
    <n v="0"/>
    <x v="59"/>
    <n v="465"/>
    <n v="315"/>
    <n v="0.40384615384615385"/>
  </r>
  <r>
    <s v="NB10222"/>
    <x v="75"/>
    <s v="P03"/>
    <x v="1"/>
    <s v="Computers"/>
    <x v="3"/>
    <s v="C025"/>
    <s v="River Customer 25"/>
    <x v="1"/>
    <x v="0"/>
    <n v="3"/>
    <n v="260"/>
    <n v="155"/>
    <n v="0"/>
    <x v="59"/>
    <n v="465"/>
    <n v="315"/>
    <n v="0.40384615384615385"/>
  </r>
  <r>
    <s v="NB10257"/>
    <x v="54"/>
    <s v="P03"/>
    <x v="1"/>
    <s v="Computers"/>
    <x v="0"/>
    <s v="C038"/>
    <s v="Cedar Customer 38"/>
    <x v="1"/>
    <x v="0"/>
    <n v="3"/>
    <n v="260"/>
    <n v="155"/>
    <n v="0"/>
    <x v="59"/>
    <n v="465"/>
    <n v="315"/>
    <n v="0.40384615384615385"/>
  </r>
  <r>
    <s v="NB10339"/>
    <x v="23"/>
    <s v="P08"/>
    <x v="4"/>
    <s v="Furniture"/>
    <x v="3"/>
    <s v="C015"/>
    <s v="Hill Customer 15"/>
    <x v="0"/>
    <x v="0"/>
    <n v="6"/>
    <n v="130"/>
    <n v="65"/>
    <n v="0.05"/>
    <x v="60"/>
    <n v="390"/>
    <n v="351"/>
    <n v="0.47368421052631576"/>
  </r>
  <r>
    <s v="NB10140"/>
    <x v="76"/>
    <s v="P02"/>
    <x v="2"/>
    <s v="Computers"/>
    <x v="2"/>
    <s v="C032"/>
    <s v="Cedar Customer 32"/>
    <x v="1"/>
    <x v="2"/>
    <n v="4"/>
    <n v="180"/>
    <n v="95"/>
    <n v="0"/>
    <x v="61"/>
    <n v="380"/>
    <n v="340"/>
    <n v="0.47222222222222221"/>
  </r>
  <r>
    <s v="NB10309"/>
    <x v="77"/>
    <s v="P02"/>
    <x v="2"/>
    <s v="Computers"/>
    <x v="1"/>
    <s v="C032"/>
    <s v="Cedar Customer 32"/>
    <x v="1"/>
    <x v="3"/>
    <n v="4"/>
    <n v="180"/>
    <n v="95"/>
    <n v="0"/>
    <x v="61"/>
    <n v="380"/>
    <n v="340"/>
    <n v="0.47222222222222221"/>
  </r>
  <r>
    <s v="NB10354"/>
    <x v="78"/>
    <s v="P02"/>
    <x v="2"/>
    <s v="Computers"/>
    <x v="2"/>
    <s v="C021"/>
    <s v="Hill Customer 21"/>
    <x v="0"/>
    <x v="1"/>
    <n v="4"/>
    <n v="180"/>
    <n v="95"/>
    <n v="0"/>
    <x v="61"/>
    <n v="380"/>
    <n v="340"/>
    <n v="0.47222222222222221"/>
  </r>
  <r>
    <s v="NB10086"/>
    <x v="79"/>
    <s v="P03"/>
    <x v="1"/>
    <s v="Computers"/>
    <x v="0"/>
    <s v="C016"/>
    <s v="Park Customer 16"/>
    <x v="1"/>
    <x v="0"/>
    <n v="3"/>
    <n v="247"/>
    <n v="155"/>
    <n v="0.05"/>
    <x v="62"/>
    <n v="465"/>
    <n v="238.94999999999993"/>
    <n v="0.33944172171318981"/>
  </r>
  <r>
    <s v="NB10087"/>
    <x v="80"/>
    <s v="P03"/>
    <x v="1"/>
    <s v="Computers"/>
    <x v="2"/>
    <s v="C037"/>
    <s v="River Customer 37"/>
    <x v="1"/>
    <x v="3"/>
    <n v="3"/>
    <n v="260"/>
    <n v="155"/>
    <n v="0.1"/>
    <x v="63"/>
    <n v="465"/>
    <n v="237"/>
    <n v="0.33760683760683763"/>
  </r>
  <r>
    <s v="NB10163"/>
    <x v="81"/>
    <s v="P03"/>
    <x v="1"/>
    <s v="Computers"/>
    <x v="2"/>
    <s v="C019"/>
    <s v="River Customer 19"/>
    <x v="1"/>
    <x v="3"/>
    <n v="3"/>
    <n v="260"/>
    <n v="155"/>
    <n v="0.1"/>
    <x v="63"/>
    <n v="465"/>
    <n v="237"/>
    <n v="0.33760683760683763"/>
  </r>
  <r>
    <s v="NB10279"/>
    <x v="82"/>
    <s v="P07"/>
    <x v="3"/>
    <s v="Furniture"/>
    <x v="0"/>
    <s v="C027"/>
    <s v="Hill Customer 27"/>
    <x v="0"/>
    <x v="3"/>
    <n v="5"/>
    <n v="161.5"/>
    <n v="95"/>
    <n v="0.15"/>
    <x v="64"/>
    <n v="475"/>
    <n v="211.375"/>
    <n v="0.30795847750865052"/>
  </r>
  <r>
    <s v="NB10179"/>
    <x v="25"/>
    <s v="P02"/>
    <x v="2"/>
    <s v="Computers"/>
    <x v="2"/>
    <s v="C032"/>
    <s v="Cedar Customer 32"/>
    <x v="1"/>
    <x v="0"/>
    <n v="4"/>
    <n v="180"/>
    <n v="95"/>
    <n v="0.05"/>
    <x v="65"/>
    <n v="380"/>
    <n v="304"/>
    <n v="0.44444444444444442"/>
  </r>
  <r>
    <s v="NB10265"/>
    <x v="68"/>
    <s v="P02"/>
    <x v="2"/>
    <s v="Computers"/>
    <x v="0"/>
    <s v="C013"/>
    <s v="River Customer 13"/>
    <x v="1"/>
    <x v="0"/>
    <n v="4"/>
    <n v="180"/>
    <n v="95"/>
    <n v="0.05"/>
    <x v="65"/>
    <n v="380"/>
    <n v="304"/>
    <n v="0.44444444444444442"/>
  </r>
  <r>
    <s v="NB10275"/>
    <x v="83"/>
    <s v="P02"/>
    <x v="2"/>
    <s v="Computers"/>
    <x v="3"/>
    <s v="C034"/>
    <s v="Park Customer 34"/>
    <x v="1"/>
    <x v="2"/>
    <n v="4"/>
    <n v="180"/>
    <n v="95"/>
    <n v="0.05"/>
    <x v="65"/>
    <n v="380"/>
    <n v="304"/>
    <n v="0.44444444444444442"/>
  </r>
  <r>
    <s v="NB10233"/>
    <x v="84"/>
    <s v="P02"/>
    <x v="2"/>
    <s v="Computers"/>
    <x v="3"/>
    <s v="C031"/>
    <s v="River Customer 31"/>
    <x v="1"/>
    <x v="1"/>
    <n v="4"/>
    <n v="189"/>
    <n v="95"/>
    <n v="0.1"/>
    <x v="66"/>
    <n v="380"/>
    <n v="300.39999999999998"/>
    <n v="0.44150499706055257"/>
  </r>
  <r>
    <s v="NB10118"/>
    <x v="85"/>
    <s v="P07"/>
    <x v="3"/>
    <s v="Furniture"/>
    <x v="3"/>
    <s v="C026"/>
    <s v="Cedar Customer 26"/>
    <x v="1"/>
    <x v="2"/>
    <n v="4"/>
    <n v="170"/>
    <n v="95"/>
    <n v="0"/>
    <x v="67"/>
    <n v="380"/>
    <n v="300"/>
    <n v="0.44117647058823528"/>
  </r>
  <r>
    <s v="NB10157"/>
    <x v="4"/>
    <s v="P07"/>
    <x v="3"/>
    <s v="Furniture"/>
    <x v="0"/>
    <s v="C035"/>
    <s v="Maple Customer 35"/>
    <x v="1"/>
    <x v="1"/>
    <n v="4"/>
    <n v="170"/>
    <n v="95"/>
    <n v="0"/>
    <x v="67"/>
    <n v="380"/>
    <n v="300"/>
    <n v="0.44117647058823528"/>
  </r>
  <r>
    <s v="NB10274"/>
    <x v="86"/>
    <s v="P03"/>
    <x v="1"/>
    <s v="Computers"/>
    <x v="1"/>
    <s v="C022"/>
    <s v="Park Customer 22"/>
    <x v="1"/>
    <x v="1"/>
    <n v="3"/>
    <n v="260"/>
    <n v="155"/>
    <n v="0.15"/>
    <x v="68"/>
    <n v="465"/>
    <n v="198"/>
    <n v="0.29864253393665158"/>
  </r>
  <r>
    <s v="NB10295"/>
    <x v="59"/>
    <s v="P01"/>
    <x v="0"/>
    <s v="Computers"/>
    <x v="1"/>
    <s v="C002"/>
    <s v="Cedar Customer 02"/>
    <x v="1"/>
    <x v="0"/>
    <n v="1"/>
    <n v="650"/>
    <n v="430"/>
    <n v="0"/>
    <x v="69"/>
    <n v="430"/>
    <n v="220"/>
    <n v="0.33846153846153848"/>
  </r>
  <r>
    <s v="NB10303"/>
    <x v="4"/>
    <s v="P01"/>
    <x v="0"/>
    <s v="Computers"/>
    <x v="2"/>
    <s v="C028"/>
    <s v="Park Customer 28"/>
    <x v="1"/>
    <x v="2"/>
    <n v="1"/>
    <n v="650"/>
    <n v="430"/>
    <n v="0"/>
    <x v="69"/>
    <n v="430"/>
    <n v="220"/>
    <n v="0.33846153846153848"/>
  </r>
  <r>
    <s v="NB10198"/>
    <x v="79"/>
    <s v="P02"/>
    <x v="2"/>
    <s v="Computers"/>
    <x v="2"/>
    <s v="C002"/>
    <s v="Cedar Customer 02"/>
    <x v="1"/>
    <x v="0"/>
    <n v="4"/>
    <n v="180"/>
    <n v="95"/>
    <n v="0.1"/>
    <x v="70"/>
    <n v="380"/>
    <n v="268"/>
    <n v="0.41358024691358025"/>
  </r>
  <r>
    <s v="NB10018"/>
    <x v="87"/>
    <s v="P01"/>
    <x v="0"/>
    <s v="Computers"/>
    <x v="2"/>
    <s v="C002"/>
    <s v="Cedar Customer 02"/>
    <x v="1"/>
    <x v="1"/>
    <n v="1"/>
    <n v="650"/>
    <n v="430"/>
    <n v="0.05"/>
    <x v="71"/>
    <n v="430"/>
    <n v="187.5"/>
    <n v="0.30364372469635625"/>
  </r>
  <r>
    <s v="NB10063"/>
    <x v="88"/>
    <s v="P08"/>
    <x v="4"/>
    <s v="Furniture"/>
    <x v="1"/>
    <s v="C027"/>
    <s v="Hill Customer 27"/>
    <x v="0"/>
    <x v="2"/>
    <n v="5"/>
    <n v="136.5"/>
    <n v="65"/>
    <n v="0.1"/>
    <x v="72"/>
    <n v="325"/>
    <n v="289.25"/>
    <n v="0.47089947089947087"/>
  </r>
  <r>
    <s v="NB10272"/>
    <x v="62"/>
    <s v="P01"/>
    <x v="0"/>
    <s v="Computers"/>
    <x v="0"/>
    <s v="C021"/>
    <s v="Hill Customer 21"/>
    <x v="0"/>
    <x v="1"/>
    <n v="1"/>
    <n v="682.5"/>
    <n v="430"/>
    <n v="0.1"/>
    <x v="72"/>
    <n v="430"/>
    <n v="184.25"/>
    <n v="0.29995929995929999"/>
  </r>
  <r>
    <s v="NB10099"/>
    <x v="89"/>
    <s v="P02"/>
    <x v="2"/>
    <s v="Computers"/>
    <x v="1"/>
    <s v="C029"/>
    <s v="Maple Customer 29"/>
    <x v="1"/>
    <x v="3"/>
    <n v="4"/>
    <n v="180"/>
    <n v="95"/>
    <n v="0.15"/>
    <x v="73"/>
    <n v="380"/>
    <n v="232"/>
    <n v="0.37908496732026142"/>
  </r>
  <r>
    <s v="NB10263"/>
    <x v="90"/>
    <s v="P02"/>
    <x v="2"/>
    <s v="Computers"/>
    <x v="3"/>
    <s v="C029"/>
    <s v="Maple Customer 29"/>
    <x v="1"/>
    <x v="1"/>
    <n v="4"/>
    <n v="180"/>
    <n v="95"/>
    <n v="0.15"/>
    <x v="73"/>
    <n v="380"/>
    <n v="232"/>
    <n v="0.37908496732026142"/>
  </r>
  <r>
    <s v="NB10270"/>
    <x v="91"/>
    <s v="P02"/>
    <x v="2"/>
    <s v="Computers"/>
    <x v="1"/>
    <s v="C034"/>
    <s v="Park Customer 34"/>
    <x v="1"/>
    <x v="0"/>
    <n v="4"/>
    <n v="180"/>
    <n v="95"/>
    <n v="0.15"/>
    <x v="73"/>
    <n v="380"/>
    <n v="232"/>
    <n v="0.37908496732026142"/>
  </r>
  <r>
    <s v="NB10346"/>
    <x v="76"/>
    <s v="P07"/>
    <x v="3"/>
    <s v="Furniture"/>
    <x v="0"/>
    <s v="C014"/>
    <s v="Cedar Customer 14"/>
    <x v="1"/>
    <x v="0"/>
    <n v="4"/>
    <n v="178.5"/>
    <n v="95"/>
    <n v="0.15"/>
    <x v="74"/>
    <n v="380"/>
    <n v="226.89999999999998"/>
    <n v="0.37386719393639806"/>
  </r>
  <r>
    <s v="NB10184"/>
    <x v="92"/>
    <s v="P06"/>
    <x v="5"/>
    <s v="Accessories"/>
    <x v="3"/>
    <s v="C027"/>
    <s v="Hill Customer 27"/>
    <x v="0"/>
    <x v="0"/>
    <n v="11"/>
    <n v="55"/>
    <n v="22"/>
    <n v="0"/>
    <x v="75"/>
    <n v="242"/>
    <n v="363"/>
    <n v="0.6"/>
  </r>
  <r>
    <s v="NB10331"/>
    <x v="33"/>
    <s v="P06"/>
    <x v="5"/>
    <s v="Accessories"/>
    <x v="1"/>
    <s v="C006"/>
    <s v="Oak Customer 06"/>
    <x v="0"/>
    <x v="1"/>
    <n v="12"/>
    <n v="52.25"/>
    <n v="22"/>
    <n v="0.05"/>
    <x v="76"/>
    <n v="264"/>
    <n v="331.65"/>
    <n v="0.55678670360110805"/>
  </r>
  <r>
    <s v="NB10193"/>
    <x v="20"/>
    <s v="P01"/>
    <x v="0"/>
    <s v="Computers"/>
    <x v="2"/>
    <s v="C007"/>
    <s v="River Customer 07"/>
    <x v="1"/>
    <x v="0"/>
    <n v="1"/>
    <n v="682.5"/>
    <n v="430"/>
    <n v="0.15"/>
    <x v="77"/>
    <n v="430"/>
    <n v="150.125"/>
    <n v="0.25878043525102351"/>
  </r>
  <r>
    <s v="NB10249"/>
    <x v="93"/>
    <s v="P06"/>
    <x v="5"/>
    <s v="Accessories"/>
    <x v="2"/>
    <s v="C012"/>
    <s v="Oak Customer 12"/>
    <x v="0"/>
    <x v="1"/>
    <n v="11"/>
    <n v="52.25"/>
    <n v="22"/>
    <n v="0"/>
    <x v="78"/>
    <n v="242"/>
    <n v="332.75"/>
    <n v="0.57894736842105265"/>
  </r>
  <r>
    <s v="NB10090"/>
    <x v="94"/>
    <s v="P01"/>
    <x v="0"/>
    <s v="Computers"/>
    <x v="2"/>
    <s v="C034"/>
    <s v="Park Customer 34"/>
    <x v="1"/>
    <x v="2"/>
    <n v="1"/>
    <n v="650"/>
    <n v="430"/>
    <n v="0.15"/>
    <x v="79"/>
    <n v="430"/>
    <n v="122.5"/>
    <n v="0.22171945701357465"/>
  </r>
  <r>
    <s v="NB10243"/>
    <x v="74"/>
    <s v="P06"/>
    <x v="5"/>
    <s v="Accessories"/>
    <x v="1"/>
    <s v="C006"/>
    <s v="Oak Customer 06"/>
    <x v="0"/>
    <x v="0"/>
    <n v="10"/>
    <n v="55"/>
    <n v="22"/>
    <n v="0"/>
    <x v="80"/>
    <n v="220"/>
    <n v="330"/>
    <n v="0.6"/>
  </r>
  <r>
    <s v="NB10076"/>
    <x v="95"/>
    <s v="P03"/>
    <x v="1"/>
    <s v="Computers"/>
    <x v="2"/>
    <s v="C022"/>
    <s v="Park Customer 22"/>
    <x v="1"/>
    <x v="2"/>
    <n v="2"/>
    <n v="273"/>
    <n v="155"/>
    <n v="0"/>
    <x v="81"/>
    <n v="310"/>
    <n v="236"/>
    <n v="0.43223443223443225"/>
  </r>
  <r>
    <s v="NB10290"/>
    <x v="96"/>
    <s v="P08"/>
    <x v="4"/>
    <s v="Furniture"/>
    <x v="2"/>
    <s v="C026"/>
    <s v="Cedar Customer 26"/>
    <x v="1"/>
    <x v="2"/>
    <n v="4"/>
    <n v="136.5"/>
    <n v="65"/>
    <n v="0"/>
    <x v="81"/>
    <n v="260"/>
    <n v="286"/>
    <n v="0.52380952380952384"/>
  </r>
  <r>
    <s v="NB10123"/>
    <x v="81"/>
    <s v="P02"/>
    <x v="2"/>
    <s v="Computers"/>
    <x v="2"/>
    <s v="C012"/>
    <s v="Oak Customer 12"/>
    <x v="0"/>
    <x v="0"/>
    <n v="3"/>
    <n v="180"/>
    <n v="95"/>
    <n v="0"/>
    <x v="82"/>
    <n v="285"/>
    <n v="255"/>
    <n v="0.47222222222222221"/>
  </r>
  <r>
    <s v="NB10266"/>
    <x v="9"/>
    <s v="P02"/>
    <x v="2"/>
    <s v="Computers"/>
    <x v="1"/>
    <s v="C034"/>
    <s v="Park Customer 34"/>
    <x v="1"/>
    <x v="3"/>
    <n v="3"/>
    <n v="180"/>
    <n v="95"/>
    <n v="0"/>
    <x v="82"/>
    <n v="285"/>
    <n v="255"/>
    <n v="0.47222222222222221"/>
  </r>
  <r>
    <s v="NB10337"/>
    <x v="97"/>
    <s v="P02"/>
    <x v="2"/>
    <s v="Computers"/>
    <x v="2"/>
    <s v="C020"/>
    <s v="Cedar Customer 20"/>
    <x v="1"/>
    <x v="2"/>
    <n v="3"/>
    <n v="180"/>
    <n v="95"/>
    <n v="0"/>
    <x v="82"/>
    <n v="285"/>
    <n v="255"/>
    <n v="0.47222222222222221"/>
  </r>
  <r>
    <s v="NB10196"/>
    <x v="98"/>
    <s v="P06"/>
    <x v="5"/>
    <s v="Accessories"/>
    <x v="0"/>
    <s v="C033"/>
    <s v="Hill Customer 33"/>
    <x v="0"/>
    <x v="0"/>
    <n v="11"/>
    <n v="57.75"/>
    <n v="22"/>
    <n v="0.15"/>
    <x v="83"/>
    <n v="242"/>
    <n v="297.96249999999998"/>
    <n v="0.55182072829131645"/>
  </r>
  <r>
    <s v="NB10116"/>
    <x v="2"/>
    <s v="P02"/>
    <x v="2"/>
    <s v="Computers"/>
    <x v="3"/>
    <s v="C037"/>
    <s v="River Customer 37"/>
    <x v="1"/>
    <x v="0"/>
    <n v="3"/>
    <n v="189"/>
    <n v="95"/>
    <n v="0.05"/>
    <x v="84"/>
    <n v="285"/>
    <n v="253.64999999999998"/>
    <n v="0.47089947089947087"/>
  </r>
  <r>
    <s v="NB10013"/>
    <x v="99"/>
    <s v="P07"/>
    <x v="3"/>
    <s v="Furniture"/>
    <x v="0"/>
    <s v="C034"/>
    <s v="Park Customer 34"/>
    <x v="1"/>
    <x v="1"/>
    <n v="3"/>
    <n v="178.5"/>
    <n v="95"/>
    <n v="0"/>
    <x v="85"/>
    <n v="285"/>
    <n v="250.5"/>
    <n v="0.46778711484593838"/>
  </r>
  <r>
    <s v="NB10078"/>
    <x v="100"/>
    <s v="P08"/>
    <x v="4"/>
    <s v="Furniture"/>
    <x v="1"/>
    <s v="C031"/>
    <s v="River Customer 31"/>
    <x v="1"/>
    <x v="0"/>
    <n v="4"/>
    <n v="130"/>
    <n v="65"/>
    <n v="0"/>
    <x v="86"/>
    <n v="260"/>
    <n v="260"/>
    <n v="0.5"/>
  </r>
  <r>
    <s v="NB10083"/>
    <x v="97"/>
    <s v="P03"/>
    <x v="1"/>
    <s v="Computers"/>
    <x v="2"/>
    <s v="C006"/>
    <s v="Oak Customer 06"/>
    <x v="0"/>
    <x v="1"/>
    <n v="2"/>
    <n v="260"/>
    <n v="155"/>
    <n v="0"/>
    <x v="86"/>
    <n v="310"/>
    <n v="210"/>
    <n v="0.40384615384615385"/>
  </r>
  <r>
    <s v="NB10142"/>
    <x v="101"/>
    <s v="P03"/>
    <x v="1"/>
    <s v="Computers"/>
    <x v="1"/>
    <s v="C010"/>
    <s v="Park Customer 10"/>
    <x v="1"/>
    <x v="3"/>
    <n v="2"/>
    <n v="260"/>
    <n v="155"/>
    <n v="0"/>
    <x v="86"/>
    <n v="310"/>
    <n v="210"/>
    <n v="0.40384615384615385"/>
  </r>
  <r>
    <s v="NB10225"/>
    <x v="102"/>
    <s v="P03"/>
    <x v="1"/>
    <s v="Computers"/>
    <x v="0"/>
    <s v="C029"/>
    <s v="Maple Customer 29"/>
    <x v="1"/>
    <x v="1"/>
    <n v="2"/>
    <n v="260"/>
    <n v="155"/>
    <n v="0"/>
    <x v="86"/>
    <n v="310"/>
    <n v="210"/>
    <n v="0.40384615384615385"/>
  </r>
  <r>
    <s v="NB10027"/>
    <x v="61"/>
    <s v="P07"/>
    <x v="3"/>
    <s v="Furniture"/>
    <x v="0"/>
    <s v="C017"/>
    <s v="Maple Customer 17"/>
    <x v="1"/>
    <x v="0"/>
    <n v="3"/>
    <n v="170"/>
    <n v="95"/>
    <n v="0"/>
    <x v="87"/>
    <n v="285"/>
    <n v="225"/>
    <n v="0.44117647058823528"/>
  </r>
  <r>
    <s v="NB10148"/>
    <x v="7"/>
    <s v="P07"/>
    <x v="3"/>
    <s v="Furniture"/>
    <x v="2"/>
    <s v="C017"/>
    <s v="Maple Customer 17"/>
    <x v="1"/>
    <x v="2"/>
    <n v="3"/>
    <n v="170"/>
    <n v="95"/>
    <n v="0"/>
    <x v="87"/>
    <n v="285"/>
    <n v="225"/>
    <n v="0.44117647058823528"/>
  </r>
  <r>
    <s v="NB10206"/>
    <x v="60"/>
    <s v="P06"/>
    <x v="5"/>
    <s v="Accessories"/>
    <x v="2"/>
    <s v="C036"/>
    <s v="Oak Customer 36"/>
    <x v="0"/>
    <x v="0"/>
    <n v="9"/>
    <n v="55"/>
    <n v="22"/>
    <n v="0"/>
    <x v="88"/>
    <n v="198"/>
    <n v="297"/>
    <n v="0.6"/>
  </r>
  <r>
    <s v="NB10033"/>
    <x v="103"/>
    <s v="P08"/>
    <x v="4"/>
    <s v="Furniture"/>
    <x v="2"/>
    <s v="C027"/>
    <s v="Hill Customer 27"/>
    <x v="0"/>
    <x v="0"/>
    <n v="4"/>
    <n v="123.5"/>
    <n v="65"/>
    <n v="0"/>
    <x v="89"/>
    <n v="260"/>
    <n v="234"/>
    <n v="0.47368421052631576"/>
  </r>
  <r>
    <s v="NB10108"/>
    <x v="104"/>
    <s v="P03"/>
    <x v="1"/>
    <s v="Computers"/>
    <x v="0"/>
    <s v="C017"/>
    <s v="Maple Customer 17"/>
    <x v="1"/>
    <x v="3"/>
    <n v="2"/>
    <n v="260"/>
    <n v="155"/>
    <n v="0.05"/>
    <x v="89"/>
    <n v="310"/>
    <n v="184"/>
    <n v="0.37246963562753038"/>
  </r>
  <r>
    <s v="NB10200"/>
    <x v="6"/>
    <s v="P08"/>
    <x v="4"/>
    <s v="Furniture"/>
    <x v="3"/>
    <s v="C011"/>
    <s v="Maple Customer 11"/>
    <x v="1"/>
    <x v="3"/>
    <n v="4"/>
    <n v="130"/>
    <n v="65"/>
    <n v="0.05"/>
    <x v="89"/>
    <n v="260"/>
    <n v="234"/>
    <n v="0.47368421052631576"/>
  </r>
  <r>
    <s v="NB10234"/>
    <x v="97"/>
    <s v="P08"/>
    <x v="4"/>
    <s v="Furniture"/>
    <x v="2"/>
    <s v="C014"/>
    <s v="Cedar Customer 14"/>
    <x v="1"/>
    <x v="1"/>
    <n v="4"/>
    <n v="130"/>
    <n v="65"/>
    <n v="0.05"/>
    <x v="89"/>
    <n v="260"/>
    <n v="234"/>
    <n v="0.47368421052631576"/>
  </r>
  <r>
    <s v="NB10302"/>
    <x v="85"/>
    <s v="P08"/>
    <x v="4"/>
    <s v="Furniture"/>
    <x v="1"/>
    <s v="C029"/>
    <s v="Maple Customer 29"/>
    <x v="1"/>
    <x v="3"/>
    <n v="4"/>
    <n v="130"/>
    <n v="65"/>
    <n v="0.05"/>
    <x v="89"/>
    <n v="260"/>
    <n v="234"/>
    <n v="0.47368421052631576"/>
  </r>
  <r>
    <s v="NB10304"/>
    <x v="11"/>
    <s v="P08"/>
    <x v="4"/>
    <s v="Furniture"/>
    <x v="3"/>
    <s v="C009"/>
    <s v="Hill Customer 09"/>
    <x v="0"/>
    <x v="3"/>
    <n v="4"/>
    <n v="130"/>
    <n v="65"/>
    <n v="0.05"/>
    <x v="89"/>
    <n v="260"/>
    <n v="234"/>
    <n v="0.47368421052631576"/>
  </r>
  <r>
    <s v="NB10320"/>
    <x v="49"/>
    <s v="P08"/>
    <x v="4"/>
    <s v="Furniture"/>
    <x v="1"/>
    <s v="C016"/>
    <s v="Park Customer 16"/>
    <x v="1"/>
    <x v="1"/>
    <n v="4"/>
    <n v="123.5"/>
    <n v="65"/>
    <n v="0"/>
    <x v="89"/>
    <n v="260"/>
    <n v="234"/>
    <n v="0.47368421052631576"/>
  </r>
  <r>
    <s v="NB10130"/>
    <x v="105"/>
    <s v="P03"/>
    <x v="1"/>
    <s v="Computers"/>
    <x v="0"/>
    <s v="C004"/>
    <s v="Park Customer 04"/>
    <x v="1"/>
    <x v="0"/>
    <n v="2"/>
    <n v="273"/>
    <n v="155"/>
    <n v="0.1"/>
    <x v="90"/>
    <n v="310"/>
    <n v="181.40000000000003"/>
    <n v="0.36914936914936919"/>
  </r>
  <r>
    <s v="NB10325"/>
    <x v="106"/>
    <s v="P03"/>
    <x v="1"/>
    <s v="Computers"/>
    <x v="3"/>
    <s v="C028"/>
    <s v="Park Customer 28"/>
    <x v="1"/>
    <x v="2"/>
    <n v="2"/>
    <n v="273"/>
    <n v="155"/>
    <n v="0.1"/>
    <x v="90"/>
    <n v="310"/>
    <n v="181.40000000000003"/>
    <n v="0.36914936914936919"/>
  </r>
  <r>
    <s v="NB10010"/>
    <x v="107"/>
    <s v="P02"/>
    <x v="2"/>
    <s v="Computers"/>
    <x v="1"/>
    <s v="C023"/>
    <s v="Maple Customer 23"/>
    <x v="1"/>
    <x v="0"/>
    <n v="3"/>
    <n v="171"/>
    <n v="95"/>
    <n v="0.05"/>
    <x v="91"/>
    <n v="285"/>
    <n v="202.34999999999997"/>
    <n v="0.41520467836257308"/>
  </r>
  <r>
    <s v="NB10041"/>
    <x v="12"/>
    <s v="P02"/>
    <x v="2"/>
    <s v="Computers"/>
    <x v="3"/>
    <s v="C013"/>
    <s v="River Customer 13"/>
    <x v="1"/>
    <x v="0"/>
    <n v="3"/>
    <n v="171"/>
    <n v="95"/>
    <n v="0.05"/>
    <x v="91"/>
    <n v="285"/>
    <n v="202.34999999999997"/>
    <n v="0.41520467836257308"/>
  </r>
  <r>
    <s v="NB10220"/>
    <x v="108"/>
    <s v="P03"/>
    <x v="1"/>
    <s v="Computers"/>
    <x v="1"/>
    <s v="C014"/>
    <s v="Cedar Customer 14"/>
    <x v="1"/>
    <x v="2"/>
    <n v="2"/>
    <n v="260"/>
    <n v="155"/>
    <n v="0.1"/>
    <x v="92"/>
    <n v="310"/>
    <n v="158"/>
    <n v="0.33760683760683763"/>
  </r>
  <r>
    <s v="NB10271"/>
    <x v="109"/>
    <s v="P08"/>
    <x v="4"/>
    <s v="Furniture"/>
    <x v="3"/>
    <s v="C023"/>
    <s v="Maple Customer 23"/>
    <x v="1"/>
    <x v="0"/>
    <n v="4"/>
    <n v="130"/>
    <n v="65"/>
    <n v="0.1"/>
    <x v="92"/>
    <n v="260"/>
    <n v="208"/>
    <n v="0.44444444444444442"/>
  </r>
  <r>
    <s v="NB10232"/>
    <x v="110"/>
    <s v="P06"/>
    <x v="5"/>
    <s v="Accessories"/>
    <x v="3"/>
    <s v="C009"/>
    <s v="Hill Customer 09"/>
    <x v="0"/>
    <x v="4"/>
    <n v="9"/>
    <n v="57.75"/>
    <n v="22"/>
    <n v="0.1"/>
    <x v="93"/>
    <n v="198"/>
    <n v="269.77500000000003"/>
    <n v="0.57671957671957674"/>
  </r>
  <r>
    <s v="NB10106"/>
    <x v="92"/>
    <s v="P03"/>
    <x v="1"/>
    <s v="Computers"/>
    <x v="0"/>
    <s v="C029"/>
    <s v="Maple Customer 29"/>
    <x v="1"/>
    <x v="0"/>
    <n v="2"/>
    <n v="273"/>
    <n v="155"/>
    <n v="0.15"/>
    <x v="94"/>
    <n v="310"/>
    <n v="154.09999999999997"/>
    <n v="0.33204050851109668"/>
  </r>
  <r>
    <s v="NB10057"/>
    <x v="111"/>
    <s v="P07"/>
    <x v="3"/>
    <s v="Furniture"/>
    <x v="0"/>
    <s v="C037"/>
    <s v="River Customer 37"/>
    <x v="1"/>
    <x v="1"/>
    <n v="3"/>
    <n v="170"/>
    <n v="95"/>
    <n v="0.1"/>
    <x v="95"/>
    <n v="285"/>
    <n v="174"/>
    <n v="0.37908496732026142"/>
  </r>
  <r>
    <s v="NB10020"/>
    <x v="112"/>
    <s v="P08"/>
    <x v="4"/>
    <s v="Furniture"/>
    <x v="1"/>
    <s v="C034"/>
    <s v="Park Customer 34"/>
    <x v="1"/>
    <x v="3"/>
    <n v="4"/>
    <n v="130"/>
    <n v="65"/>
    <n v="0.15"/>
    <x v="96"/>
    <n v="260"/>
    <n v="182"/>
    <n v="0.41176470588235292"/>
  </r>
  <r>
    <s v="NB10037"/>
    <x v="113"/>
    <s v="P03"/>
    <x v="1"/>
    <s v="Computers"/>
    <x v="2"/>
    <s v="C013"/>
    <s v="River Customer 13"/>
    <x v="1"/>
    <x v="2"/>
    <n v="2"/>
    <n v="260"/>
    <n v="155"/>
    <n v="0.15"/>
    <x v="96"/>
    <n v="310"/>
    <n v="132"/>
    <n v="0.29864253393665158"/>
  </r>
  <r>
    <s v="NB10074"/>
    <x v="114"/>
    <s v="P03"/>
    <x v="1"/>
    <s v="Computers"/>
    <x v="0"/>
    <s v="C025"/>
    <s v="River Customer 25"/>
    <x v="1"/>
    <x v="3"/>
    <n v="2"/>
    <n v="260"/>
    <n v="155"/>
    <n v="0.15"/>
    <x v="96"/>
    <n v="310"/>
    <n v="132"/>
    <n v="0.29864253393665158"/>
  </r>
  <r>
    <s v="NB10178"/>
    <x v="115"/>
    <s v="P08"/>
    <x v="4"/>
    <s v="Furniture"/>
    <x v="0"/>
    <s v="C040"/>
    <s v="Park Customer 40"/>
    <x v="1"/>
    <x v="1"/>
    <n v="4"/>
    <n v="130"/>
    <n v="65"/>
    <n v="0.15"/>
    <x v="96"/>
    <n v="260"/>
    <n v="182"/>
    <n v="0.41176470588235292"/>
  </r>
  <r>
    <s v="NB10264"/>
    <x v="90"/>
    <s v="P08"/>
    <x v="4"/>
    <s v="Furniture"/>
    <x v="1"/>
    <s v="C031"/>
    <s v="River Customer 31"/>
    <x v="1"/>
    <x v="0"/>
    <n v="4"/>
    <n v="130"/>
    <n v="65"/>
    <n v="0.15"/>
    <x v="96"/>
    <n v="260"/>
    <n v="182"/>
    <n v="0.41176470588235292"/>
  </r>
  <r>
    <s v="NB10043"/>
    <x v="5"/>
    <s v="P04"/>
    <x v="6"/>
    <s v="Accessories"/>
    <x v="0"/>
    <s v="C003"/>
    <s v="Hill Customer 03"/>
    <x v="0"/>
    <x v="1"/>
    <n v="12"/>
    <n v="36.75"/>
    <n v="14"/>
    <n v="0"/>
    <x v="97"/>
    <n v="168"/>
    <n v="273"/>
    <n v="0.61904761904761907"/>
  </r>
  <r>
    <s v="NB10219"/>
    <x v="112"/>
    <s v="P06"/>
    <x v="5"/>
    <s v="Accessories"/>
    <x v="2"/>
    <s v="C027"/>
    <s v="Hill Customer 27"/>
    <x v="0"/>
    <x v="2"/>
    <n v="8"/>
    <n v="55"/>
    <n v="22"/>
    <n v="0"/>
    <x v="98"/>
    <n v="176"/>
    <n v="264"/>
    <n v="0.6"/>
  </r>
  <r>
    <s v="NB10330"/>
    <x v="116"/>
    <s v="P03"/>
    <x v="1"/>
    <s v="Computers"/>
    <x v="0"/>
    <s v="C032"/>
    <s v="Cedar Customer 32"/>
    <x v="1"/>
    <x v="3"/>
    <n v="2"/>
    <n v="247"/>
    <n v="155"/>
    <n v="0.15"/>
    <x v="99"/>
    <n v="310"/>
    <n v="109.89999999999998"/>
    <n v="0.26172898309121218"/>
  </r>
  <r>
    <s v="NB10104"/>
    <x v="99"/>
    <s v="P08"/>
    <x v="4"/>
    <s v="Furniture"/>
    <x v="0"/>
    <s v="C019"/>
    <s v="River Customer 19"/>
    <x v="1"/>
    <x v="0"/>
    <n v="3"/>
    <n v="136.5"/>
    <n v="65"/>
    <n v="0"/>
    <x v="100"/>
    <n v="195"/>
    <n v="214.5"/>
    <n v="0.52380952380952384"/>
  </r>
  <r>
    <s v="NB10327"/>
    <x v="7"/>
    <s v="P08"/>
    <x v="4"/>
    <s v="Furniture"/>
    <x v="1"/>
    <s v="C002"/>
    <s v="Cedar Customer 02"/>
    <x v="1"/>
    <x v="0"/>
    <n v="3"/>
    <n v="136.5"/>
    <n v="65"/>
    <n v="0"/>
    <x v="100"/>
    <n v="195"/>
    <n v="214.5"/>
    <n v="0.52380952380952384"/>
  </r>
  <r>
    <s v="NB10253"/>
    <x v="4"/>
    <s v="P04"/>
    <x v="6"/>
    <s v="Accessories"/>
    <x v="1"/>
    <s v="C015"/>
    <s v="Hill Customer 15"/>
    <x v="0"/>
    <x v="0"/>
    <n v="12"/>
    <n v="33.25"/>
    <n v="14"/>
    <n v="0"/>
    <x v="101"/>
    <n v="168"/>
    <n v="231"/>
    <n v="0.57894736842105265"/>
  </r>
  <r>
    <s v="NB10357"/>
    <x v="117"/>
    <s v="P08"/>
    <x v="4"/>
    <s v="Furniture"/>
    <x v="0"/>
    <s v="C007"/>
    <s v="River Customer 07"/>
    <x v="1"/>
    <x v="3"/>
    <n v="3"/>
    <n v="130"/>
    <n v="65"/>
    <n v="0"/>
    <x v="102"/>
    <n v="195"/>
    <n v="195"/>
    <n v="0.5"/>
  </r>
  <r>
    <s v="NB10052"/>
    <x v="5"/>
    <s v="P08"/>
    <x v="4"/>
    <s v="Furniture"/>
    <x v="1"/>
    <s v="C013"/>
    <s v="River Customer 13"/>
    <x v="1"/>
    <x v="0"/>
    <n v="3"/>
    <n v="136.5"/>
    <n v="65"/>
    <n v="0.05"/>
    <x v="103"/>
    <n v="195"/>
    <n v="194.02499999999998"/>
    <n v="0.49874686716791977"/>
  </r>
  <r>
    <s v="NB10075"/>
    <x v="118"/>
    <s v="P08"/>
    <x v="4"/>
    <s v="Furniture"/>
    <x v="1"/>
    <s v="C017"/>
    <s v="Maple Customer 17"/>
    <x v="1"/>
    <x v="3"/>
    <n v="3"/>
    <n v="123.5"/>
    <n v="65"/>
    <n v="0"/>
    <x v="104"/>
    <n v="195"/>
    <n v="175.5"/>
    <n v="0.47368421052631576"/>
  </r>
  <r>
    <s v="NB10166"/>
    <x v="68"/>
    <s v="P08"/>
    <x v="4"/>
    <s v="Furniture"/>
    <x v="3"/>
    <s v="C037"/>
    <s v="River Customer 37"/>
    <x v="1"/>
    <x v="0"/>
    <n v="3"/>
    <n v="130"/>
    <n v="65"/>
    <n v="0.05"/>
    <x v="104"/>
    <n v="195"/>
    <n v="175.5"/>
    <n v="0.47368421052631576"/>
  </r>
  <r>
    <s v="NB10333"/>
    <x v="6"/>
    <s v="P08"/>
    <x v="4"/>
    <s v="Furniture"/>
    <x v="0"/>
    <s v="C033"/>
    <s v="Hill Customer 33"/>
    <x v="0"/>
    <x v="2"/>
    <n v="3"/>
    <n v="136.5"/>
    <n v="65"/>
    <n v="0.1"/>
    <x v="105"/>
    <n v="195"/>
    <n v="173.55"/>
    <n v="0.47089947089947093"/>
  </r>
  <r>
    <s v="NB10060"/>
    <x v="119"/>
    <s v="P04"/>
    <x v="6"/>
    <s v="Accessories"/>
    <x v="1"/>
    <s v="C030"/>
    <s v="Oak Customer 30"/>
    <x v="0"/>
    <x v="1"/>
    <n v="11"/>
    <n v="33.25"/>
    <n v="14"/>
    <n v="0"/>
    <x v="106"/>
    <n v="154"/>
    <n v="211.75"/>
    <n v="0.57894736842105265"/>
  </r>
  <r>
    <s v="NB10039"/>
    <x v="74"/>
    <s v="P02"/>
    <x v="2"/>
    <s v="Computers"/>
    <x v="2"/>
    <s v="C014"/>
    <s v="Cedar Customer 14"/>
    <x v="1"/>
    <x v="0"/>
    <n v="2"/>
    <n v="180"/>
    <n v="95"/>
    <n v="0"/>
    <x v="107"/>
    <n v="190"/>
    <n v="170"/>
    <n v="0.47222222222222221"/>
  </r>
  <r>
    <s v="NB10141"/>
    <x v="24"/>
    <s v="P02"/>
    <x v="2"/>
    <s v="Computers"/>
    <x v="1"/>
    <s v="C006"/>
    <s v="Oak Customer 06"/>
    <x v="0"/>
    <x v="3"/>
    <n v="2"/>
    <n v="180"/>
    <n v="95"/>
    <n v="0"/>
    <x v="107"/>
    <n v="190"/>
    <n v="170"/>
    <n v="0.47222222222222221"/>
  </r>
  <r>
    <s v="NB10319"/>
    <x v="50"/>
    <s v="P08"/>
    <x v="4"/>
    <s v="Furniture"/>
    <x v="2"/>
    <s v="C008"/>
    <s v="Cedar Customer 08"/>
    <x v="1"/>
    <x v="0"/>
    <n v="3"/>
    <n v="123.5"/>
    <n v="65"/>
    <n v="0.05"/>
    <x v="108"/>
    <n v="195"/>
    <n v="156.97499999999997"/>
    <n v="0.445983379501385"/>
  </r>
  <r>
    <s v="NB10241"/>
    <x v="50"/>
    <s v="P08"/>
    <x v="4"/>
    <s v="Furniture"/>
    <x v="3"/>
    <s v="C002"/>
    <s v="Cedar Customer 02"/>
    <x v="1"/>
    <x v="1"/>
    <n v="3"/>
    <n v="130"/>
    <n v="65"/>
    <n v="0.1"/>
    <x v="109"/>
    <n v="195"/>
    <n v="156"/>
    <n v="0.44444444444444442"/>
  </r>
  <r>
    <s v="NB10340"/>
    <x v="120"/>
    <s v="P08"/>
    <x v="4"/>
    <s v="Furniture"/>
    <x v="1"/>
    <s v="C016"/>
    <s v="Park Customer 16"/>
    <x v="1"/>
    <x v="1"/>
    <n v="3"/>
    <n v="130"/>
    <n v="65"/>
    <n v="0.1"/>
    <x v="109"/>
    <n v="195"/>
    <n v="156"/>
    <n v="0.44444444444444442"/>
  </r>
  <r>
    <s v="NB10352"/>
    <x v="50"/>
    <s v="P08"/>
    <x v="4"/>
    <s v="Furniture"/>
    <x v="3"/>
    <s v="C001"/>
    <s v="River Customer 01"/>
    <x v="1"/>
    <x v="0"/>
    <n v="3"/>
    <n v="130"/>
    <n v="65"/>
    <n v="0.1"/>
    <x v="109"/>
    <n v="195"/>
    <n v="156"/>
    <n v="0.44444444444444442"/>
  </r>
  <r>
    <s v="NB10129"/>
    <x v="16"/>
    <s v="P08"/>
    <x v="4"/>
    <s v="Furniture"/>
    <x v="2"/>
    <s v="C037"/>
    <s v="River Customer 37"/>
    <x v="1"/>
    <x v="1"/>
    <n v="3"/>
    <n v="136.5"/>
    <n v="65"/>
    <n v="0.15"/>
    <x v="110"/>
    <n v="195"/>
    <n v="153.07499999999999"/>
    <n v="0.43977591036414565"/>
  </r>
  <r>
    <s v="NB10156"/>
    <x v="66"/>
    <s v="P04"/>
    <x v="6"/>
    <s v="Accessories"/>
    <x v="3"/>
    <s v="C036"/>
    <s v="Oak Customer 36"/>
    <x v="0"/>
    <x v="3"/>
    <n v="11"/>
    <n v="35"/>
    <n v="14"/>
    <n v="0.1"/>
    <x v="111"/>
    <n v="154"/>
    <n v="192.5"/>
    <n v="0.55555555555555558"/>
  </r>
  <r>
    <s v="NB10160"/>
    <x v="68"/>
    <s v="P02"/>
    <x v="2"/>
    <s v="Computers"/>
    <x v="2"/>
    <s v="C026"/>
    <s v="Cedar Customer 26"/>
    <x v="1"/>
    <x v="0"/>
    <n v="2"/>
    <n v="171"/>
    <n v="95"/>
    <n v="0"/>
    <x v="112"/>
    <n v="190"/>
    <n v="152"/>
    <n v="0.44444444444444442"/>
  </r>
  <r>
    <s v="NB10158"/>
    <x v="121"/>
    <s v="P07"/>
    <x v="3"/>
    <s v="Furniture"/>
    <x v="1"/>
    <s v="C008"/>
    <s v="Cedar Customer 08"/>
    <x v="1"/>
    <x v="3"/>
    <n v="2"/>
    <n v="170"/>
    <n v="95"/>
    <n v="0"/>
    <x v="113"/>
    <n v="190"/>
    <n v="150"/>
    <n v="0.44117647058823528"/>
  </r>
  <r>
    <s v="NB10273"/>
    <x v="122"/>
    <s v="P07"/>
    <x v="3"/>
    <s v="Furniture"/>
    <x v="1"/>
    <s v="C040"/>
    <s v="Park Customer 40"/>
    <x v="1"/>
    <x v="0"/>
    <n v="2"/>
    <n v="170"/>
    <n v="95"/>
    <n v="0"/>
    <x v="113"/>
    <n v="190"/>
    <n v="150"/>
    <n v="0.44117647058823528"/>
  </r>
  <r>
    <s v="NB10300"/>
    <x v="11"/>
    <s v="P07"/>
    <x v="3"/>
    <s v="Furniture"/>
    <x v="2"/>
    <s v="C025"/>
    <s v="River Customer 25"/>
    <x v="1"/>
    <x v="3"/>
    <n v="2"/>
    <n v="170"/>
    <n v="95"/>
    <n v="0"/>
    <x v="113"/>
    <n v="190"/>
    <n v="150"/>
    <n v="0.44117647058823528"/>
  </r>
  <r>
    <s v="NB10345"/>
    <x v="92"/>
    <s v="P06"/>
    <x v="5"/>
    <s v="Accessories"/>
    <x v="3"/>
    <s v="C024"/>
    <s v="Oak Customer 24"/>
    <x v="0"/>
    <x v="3"/>
    <n v="6"/>
    <n v="55"/>
    <n v="22"/>
    <n v="0"/>
    <x v="114"/>
    <n v="132"/>
    <n v="198"/>
    <n v="0.6"/>
  </r>
  <r>
    <s v="NB10070"/>
    <x v="118"/>
    <s v="P06"/>
    <x v="5"/>
    <s v="Accessories"/>
    <x v="3"/>
    <s v="C012"/>
    <s v="Oak Customer 12"/>
    <x v="0"/>
    <x v="2"/>
    <n v="7"/>
    <n v="55"/>
    <n v="22"/>
    <n v="0.15"/>
    <x v="115"/>
    <n v="154"/>
    <n v="173.25"/>
    <n v="0.52941176470588236"/>
  </r>
  <r>
    <s v="NB10283"/>
    <x v="35"/>
    <s v="P02"/>
    <x v="2"/>
    <s v="Computers"/>
    <x v="2"/>
    <s v="C005"/>
    <s v="Maple Customer 05"/>
    <x v="1"/>
    <x v="1"/>
    <n v="2"/>
    <n v="180"/>
    <n v="95"/>
    <n v="0.15"/>
    <x v="116"/>
    <n v="190"/>
    <n v="116"/>
    <n v="0.37908496732026142"/>
  </r>
  <r>
    <s v="NB10286"/>
    <x v="123"/>
    <s v="P02"/>
    <x v="2"/>
    <s v="Computers"/>
    <x v="2"/>
    <s v="C019"/>
    <s v="River Customer 19"/>
    <x v="1"/>
    <x v="1"/>
    <n v="2"/>
    <n v="180"/>
    <n v="95"/>
    <n v="0.15"/>
    <x v="116"/>
    <n v="190"/>
    <n v="116"/>
    <n v="0.37908496732026142"/>
  </r>
  <r>
    <s v="NB10311"/>
    <x v="76"/>
    <s v="P07"/>
    <x v="3"/>
    <s v="Furniture"/>
    <x v="0"/>
    <s v="C038"/>
    <s v="Cedar Customer 38"/>
    <x v="1"/>
    <x v="3"/>
    <n v="2"/>
    <n v="178.5"/>
    <n v="95"/>
    <n v="0.15"/>
    <x v="117"/>
    <n v="190"/>
    <n v="113.44999999999999"/>
    <n v="0.37386719393639806"/>
  </r>
  <r>
    <s v="NB10170"/>
    <x v="71"/>
    <s v="P04"/>
    <x v="6"/>
    <s v="Accessories"/>
    <x v="2"/>
    <s v="C027"/>
    <s v="Hill Customer 27"/>
    <x v="0"/>
    <x v="0"/>
    <n v="9"/>
    <n v="33.25"/>
    <n v="14"/>
    <n v="0"/>
    <x v="118"/>
    <n v="126"/>
    <n v="173.25"/>
    <n v="0.57894736842105265"/>
  </r>
  <r>
    <s v="NB10089"/>
    <x v="37"/>
    <s v="P04"/>
    <x v="6"/>
    <s v="Accessories"/>
    <x v="1"/>
    <s v="C036"/>
    <s v="Oak Customer 36"/>
    <x v="0"/>
    <x v="3"/>
    <n v="10"/>
    <n v="35"/>
    <n v="14"/>
    <n v="0.15"/>
    <x v="119"/>
    <n v="140"/>
    <n v="157.5"/>
    <n v="0.52941176470588236"/>
  </r>
  <r>
    <s v="NB10004"/>
    <x v="71"/>
    <s v="P06"/>
    <x v="5"/>
    <s v="Accessories"/>
    <x v="1"/>
    <s v="C024"/>
    <s v="Oak Customer 24"/>
    <x v="0"/>
    <x v="1"/>
    <n v="6"/>
    <n v="55"/>
    <n v="22"/>
    <n v="0.1"/>
    <x v="120"/>
    <n v="132"/>
    <n v="165"/>
    <n v="0.55555555555555558"/>
  </r>
  <r>
    <s v="NB10159"/>
    <x v="37"/>
    <s v="P07"/>
    <x v="3"/>
    <s v="Furniture"/>
    <x v="3"/>
    <s v="C004"/>
    <s v="Park Customer 04"/>
    <x v="1"/>
    <x v="0"/>
    <n v="2"/>
    <n v="170"/>
    <n v="95"/>
    <n v="0.15"/>
    <x v="121"/>
    <n v="190"/>
    <n v="99"/>
    <n v="0.34256055363321797"/>
  </r>
  <r>
    <s v="NB10055"/>
    <x v="122"/>
    <s v="P06"/>
    <x v="5"/>
    <s v="Accessories"/>
    <x v="1"/>
    <s v="C039"/>
    <s v="Hill Customer 39"/>
    <x v="0"/>
    <x v="1"/>
    <n v="5"/>
    <n v="55"/>
    <n v="22"/>
    <n v="0"/>
    <x v="122"/>
    <n v="110"/>
    <n v="165"/>
    <n v="0.6"/>
  </r>
  <r>
    <s v="NB10022"/>
    <x v="5"/>
    <s v="P07"/>
    <x v="3"/>
    <s v="Furniture"/>
    <x v="1"/>
    <s v="C020"/>
    <s v="Cedar Customer 20"/>
    <x v="1"/>
    <x v="1"/>
    <n v="2"/>
    <n v="161.5"/>
    <n v="95"/>
    <n v="0.15"/>
    <x v="123"/>
    <n v="190"/>
    <n v="84.550000000000011"/>
    <n v="0.30795847750865057"/>
  </r>
  <r>
    <s v="NB10093"/>
    <x v="86"/>
    <s v="P07"/>
    <x v="3"/>
    <s v="Furniture"/>
    <x v="3"/>
    <s v="C038"/>
    <s v="Cedar Customer 38"/>
    <x v="1"/>
    <x v="1"/>
    <n v="2"/>
    <n v="161.5"/>
    <n v="95"/>
    <n v="0.15"/>
    <x v="123"/>
    <n v="190"/>
    <n v="84.550000000000011"/>
    <n v="0.30795847750865057"/>
  </r>
  <r>
    <s v="NB10281"/>
    <x v="105"/>
    <s v="P07"/>
    <x v="3"/>
    <s v="Furniture"/>
    <x v="0"/>
    <s v="C040"/>
    <s v="Park Customer 40"/>
    <x v="1"/>
    <x v="1"/>
    <n v="2"/>
    <n v="161.5"/>
    <n v="95"/>
    <n v="0.15"/>
    <x v="123"/>
    <n v="190"/>
    <n v="84.550000000000011"/>
    <n v="0.30795847750865057"/>
  </r>
  <r>
    <s v="NB10308"/>
    <x v="10"/>
    <s v="P07"/>
    <x v="3"/>
    <s v="Furniture"/>
    <x v="3"/>
    <s v="C003"/>
    <s v="Hill Customer 03"/>
    <x v="0"/>
    <x v="3"/>
    <n v="2"/>
    <n v="161.5"/>
    <n v="95"/>
    <n v="0.15"/>
    <x v="123"/>
    <n v="190"/>
    <n v="84.550000000000011"/>
    <n v="0.30795847750865057"/>
  </r>
  <r>
    <s v="NB10169"/>
    <x v="6"/>
    <s v="P03"/>
    <x v="1"/>
    <s v="Computers"/>
    <x v="0"/>
    <s v="C038"/>
    <s v="Cedar Customer 38"/>
    <x v="1"/>
    <x v="2"/>
    <n v="1"/>
    <n v="273"/>
    <n v="155"/>
    <n v="0"/>
    <x v="124"/>
    <n v="155"/>
    <n v="118"/>
    <n v="0.43223443223443225"/>
  </r>
  <r>
    <s v="NB10185"/>
    <x v="55"/>
    <s v="P08"/>
    <x v="4"/>
    <s v="Furniture"/>
    <x v="0"/>
    <s v="C031"/>
    <s v="River Customer 31"/>
    <x v="1"/>
    <x v="2"/>
    <n v="2"/>
    <n v="136.5"/>
    <n v="65"/>
    <n v="0"/>
    <x v="124"/>
    <n v="130"/>
    <n v="143"/>
    <n v="0.52380952380952384"/>
  </r>
  <r>
    <s v="NB10223"/>
    <x v="124"/>
    <s v="P08"/>
    <x v="4"/>
    <s v="Furniture"/>
    <x v="1"/>
    <s v="C010"/>
    <s v="Park Customer 10"/>
    <x v="1"/>
    <x v="0"/>
    <n v="2"/>
    <n v="136.5"/>
    <n v="65"/>
    <n v="0"/>
    <x v="124"/>
    <n v="130"/>
    <n v="143"/>
    <n v="0.52380952380952384"/>
  </r>
  <r>
    <s v="NB10122"/>
    <x v="125"/>
    <s v="P04"/>
    <x v="6"/>
    <s v="Accessories"/>
    <x v="0"/>
    <s v="C015"/>
    <s v="Hill Customer 15"/>
    <x v="0"/>
    <x v="3"/>
    <n v="8"/>
    <n v="35"/>
    <n v="14"/>
    <n v="0.05"/>
    <x v="125"/>
    <n v="112"/>
    <n v="154"/>
    <n v="0.57894736842105265"/>
  </r>
  <r>
    <s v="NB10338"/>
    <x v="40"/>
    <s v="P06"/>
    <x v="5"/>
    <s v="Accessories"/>
    <x v="1"/>
    <s v="C003"/>
    <s v="Hill Customer 03"/>
    <x v="0"/>
    <x v="0"/>
    <n v="5"/>
    <n v="55"/>
    <n v="22"/>
    <n v="0.05"/>
    <x v="126"/>
    <n v="110"/>
    <n v="151.25"/>
    <n v="0.57894736842105265"/>
  </r>
  <r>
    <s v="NB10026"/>
    <x v="111"/>
    <s v="P08"/>
    <x v="4"/>
    <s v="Furniture"/>
    <x v="0"/>
    <s v="C020"/>
    <s v="Cedar Customer 20"/>
    <x v="1"/>
    <x v="3"/>
    <n v="2"/>
    <n v="130"/>
    <n v="65"/>
    <n v="0"/>
    <x v="127"/>
    <n v="130"/>
    <n v="130"/>
    <n v="0.5"/>
  </r>
  <r>
    <s v="NB10208"/>
    <x v="118"/>
    <s v="P08"/>
    <x v="4"/>
    <s v="Furniture"/>
    <x v="2"/>
    <s v="C014"/>
    <s v="Cedar Customer 14"/>
    <x v="1"/>
    <x v="0"/>
    <n v="2"/>
    <n v="130"/>
    <n v="65"/>
    <n v="0"/>
    <x v="127"/>
    <n v="130"/>
    <n v="130"/>
    <n v="0.5"/>
  </r>
  <r>
    <s v="NB10242"/>
    <x v="126"/>
    <s v="P08"/>
    <x v="4"/>
    <s v="Furniture"/>
    <x v="1"/>
    <s v="C023"/>
    <s v="Maple Customer 23"/>
    <x v="1"/>
    <x v="0"/>
    <n v="2"/>
    <n v="130"/>
    <n v="65"/>
    <n v="0"/>
    <x v="127"/>
    <n v="130"/>
    <n v="130"/>
    <n v="0.5"/>
  </r>
  <r>
    <s v="NB10276"/>
    <x v="21"/>
    <s v="P03"/>
    <x v="1"/>
    <s v="Computers"/>
    <x v="2"/>
    <s v="C028"/>
    <s v="Park Customer 28"/>
    <x v="1"/>
    <x v="3"/>
    <n v="1"/>
    <n v="260"/>
    <n v="155"/>
    <n v="0"/>
    <x v="127"/>
    <n v="155"/>
    <n v="105"/>
    <n v="0.40384615384615385"/>
  </r>
  <r>
    <s v="NB10344"/>
    <x v="52"/>
    <s v="P08"/>
    <x v="4"/>
    <s v="Furniture"/>
    <x v="2"/>
    <s v="C032"/>
    <s v="Cedar Customer 32"/>
    <x v="1"/>
    <x v="0"/>
    <n v="2"/>
    <n v="130"/>
    <n v="65"/>
    <n v="0"/>
    <x v="127"/>
    <n v="130"/>
    <n v="130"/>
    <n v="0.5"/>
  </r>
  <r>
    <s v="NB10032"/>
    <x v="95"/>
    <s v="P08"/>
    <x v="4"/>
    <s v="Furniture"/>
    <x v="0"/>
    <s v="C029"/>
    <s v="Maple Customer 29"/>
    <x v="1"/>
    <x v="1"/>
    <n v="2"/>
    <n v="130"/>
    <n v="65"/>
    <n v="0.05"/>
    <x v="128"/>
    <n v="130"/>
    <n v="117"/>
    <n v="0.47368421052631576"/>
  </r>
  <r>
    <s v="NB10152"/>
    <x v="127"/>
    <s v="P03"/>
    <x v="1"/>
    <s v="Computers"/>
    <x v="0"/>
    <s v="C008"/>
    <s v="Cedar Customer 08"/>
    <x v="1"/>
    <x v="0"/>
    <n v="1"/>
    <n v="260"/>
    <n v="155"/>
    <n v="0.05"/>
    <x v="128"/>
    <n v="155"/>
    <n v="92"/>
    <n v="0.37246963562753038"/>
  </r>
  <r>
    <s v="NB10313"/>
    <x v="99"/>
    <s v="P04"/>
    <x v="6"/>
    <s v="Accessories"/>
    <x v="1"/>
    <s v="C021"/>
    <s v="Hill Customer 21"/>
    <x v="0"/>
    <x v="0"/>
    <n v="7"/>
    <n v="36.75"/>
    <n v="14"/>
    <n v="0.05"/>
    <x v="129"/>
    <n v="98"/>
    <n v="146.38749999999999"/>
    <n v="0.59899749373433586"/>
  </r>
  <r>
    <s v="NB10210"/>
    <x v="82"/>
    <s v="P05"/>
    <x v="7"/>
    <s v="Accessories"/>
    <x v="0"/>
    <s v="C039"/>
    <s v="Hill Customer 39"/>
    <x v="0"/>
    <x v="2"/>
    <n v="12"/>
    <n v="21"/>
    <n v="7"/>
    <n v="0.05"/>
    <x v="130"/>
    <n v="84"/>
    <n v="155.39999999999998"/>
    <n v="0.64912280701754388"/>
  </r>
  <r>
    <s v="NB10216"/>
    <x v="44"/>
    <s v="P04"/>
    <x v="6"/>
    <s v="Accessories"/>
    <x v="0"/>
    <s v="C015"/>
    <s v="Hill Customer 15"/>
    <x v="0"/>
    <x v="3"/>
    <n v="8"/>
    <n v="35"/>
    <n v="14"/>
    <n v="0.15"/>
    <x v="131"/>
    <n v="112"/>
    <n v="126"/>
    <n v="0.52941176470588236"/>
  </r>
  <r>
    <s v="NB10115"/>
    <x v="68"/>
    <s v="P03"/>
    <x v="1"/>
    <s v="Computers"/>
    <x v="2"/>
    <s v="C025"/>
    <s v="River Customer 25"/>
    <x v="1"/>
    <x v="0"/>
    <n v="1"/>
    <n v="247"/>
    <n v="155"/>
    <n v="0.05"/>
    <x v="132"/>
    <n v="155"/>
    <n v="79.649999999999977"/>
    <n v="0.33944172171318981"/>
  </r>
  <r>
    <s v="NB10207"/>
    <x v="69"/>
    <s v="P08"/>
    <x v="4"/>
    <s v="Furniture"/>
    <x v="1"/>
    <s v="C037"/>
    <s v="River Customer 37"/>
    <x v="1"/>
    <x v="0"/>
    <n v="2"/>
    <n v="130"/>
    <n v="65"/>
    <n v="0.1"/>
    <x v="133"/>
    <n v="130"/>
    <n v="104"/>
    <n v="0.44444444444444442"/>
  </r>
  <r>
    <s v="NB10285"/>
    <x v="2"/>
    <s v="P03"/>
    <x v="1"/>
    <s v="Computers"/>
    <x v="1"/>
    <s v="C026"/>
    <s v="Cedar Customer 26"/>
    <x v="1"/>
    <x v="2"/>
    <n v="1"/>
    <n v="260"/>
    <n v="155"/>
    <n v="0.1"/>
    <x v="133"/>
    <n v="155"/>
    <n v="79"/>
    <n v="0.33760683760683763"/>
  </r>
  <r>
    <s v="NB10217"/>
    <x v="65"/>
    <s v="P04"/>
    <x v="6"/>
    <s v="Accessories"/>
    <x v="0"/>
    <s v="C036"/>
    <s v="Oak Customer 36"/>
    <x v="0"/>
    <x v="0"/>
    <n v="7"/>
    <n v="33.25"/>
    <n v="14"/>
    <n v="0"/>
    <x v="134"/>
    <n v="98"/>
    <n v="134.75"/>
    <n v="0.57894736842105265"/>
  </r>
  <r>
    <s v="NB10250"/>
    <x v="108"/>
    <s v="P03"/>
    <x v="1"/>
    <s v="Computers"/>
    <x v="3"/>
    <s v="C019"/>
    <s v="River Customer 19"/>
    <x v="1"/>
    <x v="1"/>
    <n v="1"/>
    <n v="273"/>
    <n v="155"/>
    <n v="0.15"/>
    <x v="135"/>
    <n v="155"/>
    <n v="77.049999999999983"/>
    <n v="0.33204050851109668"/>
  </r>
  <r>
    <s v="NB10248"/>
    <x v="38"/>
    <s v="P04"/>
    <x v="6"/>
    <s v="Accessories"/>
    <x v="2"/>
    <s v="C012"/>
    <s v="Oak Customer 12"/>
    <x v="0"/>
    <x v="3"/>
    <n v="7"/>
    <n v="36.75"/>
    <n v="14"/>
    <n v="0.1"/>
    <x v="136"/>
    <n v="98"/>
    <n v="133.52500000000001"/>
    <n v="0.57671957671957674"/>
  </r>
  <r>
    <s v="NB10277"/>
    <x v="128"/>
    <s v="P04"/>
    <x v="6"/>
    <s v="Accessories"/>
    <x v="0"/>
    <s v="C030"/>
    <s v="Oak Customer 30"/>
    <x v="0"/>
    <x v="2"/>
    <n v="7"/>
    <n v="36.75"/>
    <n v="14"/>
    <n v="0.1"/>
    <x v="136"/>
    <n v="98"/>
    <n v="133.52500000000001"/>
    <n v="0.57671957671957674"/>
  </r>
  <r>
    <s v="NB10029"/>
    <x v="125"/>
    <s v="P06"/>
    <x v="5"/>
    <s v="Accessories"/>
    <x v="3"/>
    <s v="C016"/>
    <s v="Park Customer 16"/>
    <x v="1"/>
    <x v="2"/>
    <n v="4"/>
    <n v="57.75"/>
    <n v="22"/>
    <n v="0"/>
    <x v="137"/>
    <n v="88"/>
    <n v="143"/>
    <n v="0.61904761904761907"/>
  </r>
  <r>
    <s v="NB10284"/>
    <x v="105"/>
    <s v="P06"/>
    <x v="5"/>
    <s v="Accessories"/>
    <x v="0"/>
    <s v="C001"/>
    <s v="River Customer 01"/>
    <x v="1"/>
    <x v="3"/>
    <n v="4"/>
    <n v="57.75"/>
    <n v="22"/>
    <n v="0"/>
    <x v="137"/>
    <n v="88"/>
    <n v="143"/>
    <n v="0.61904761904761907"/>
  </r>
  <r>
    <s v="NB10139"/>
    <x v="108"/>
    <s v="P04"/>
    <x v="6"/>
    <s v="Accessories"/>
    <x v="2"/>
    <s v="C036"/>
    <s v="Oak Customer 36"/>
    <x v="0"/>
    <x v="3"/>
    <n v="6"/>
    <n v="36.75"/>
    <n v="14"/>
    <n v="0"/>
    <x v="138"/>
    <n v="84"/>
    <n v="136.5"/>
    <n v="0.61904761904761907"/>
  </r>
  <r>
    <s v="NB10094"/>
    <x v="125"/>
    <s v="P05"/>
    <x v="7"/>
    <s v="Accessories"/>
    <x v="3"/>
    <s v="C018"/>
    <s v="Oak Customer 18"/>
    <x v="0"/>
    <x v="1"/>
    <n v="11"/>
    <n v="20"/>
    <n v="7"/>
    <n v="0"/>
    <x v="139"/>
    <n v="77"/>
    <n v="143"/>
    <n v="0.65"/>
  </r>
  <r>
    <s v="NB10126"/>
    <x v="89"/>
    <s v="P03"/>
    <x v="1"/>
    <s v="Computers"/>
    <x v="3"/>
    <s v="C019"/>
    <s v="River Customer 19"/>
    <x v="1"/>
    <x v="1"/>
    <n v="1"/>
    <n v="247"/>
    <n v="155"/>
    <n v="0.15"/>
    <x v="140"/>
    <n v="155"/>
    <n v="54.949999999999989"/>
    <n v="0.26172898309121218"/>
  </r>
  <r>
    <s v="NB10051"/>
    <x v="34"/>
    <s v="P06"/>
    <x v="5"/>
    <s v="Accessories"/>
    <x v="1"/>
    <s v="C014"/>
    <s v="Cedar Customer 14"/>
    <x v="1"/>
    <x v="3"/>
    <n v="4"/>
    <n v="52.25"/>
    <n v="22"/>
    <n v="0"/>
    <x v="141"/>
    <n v="88"/>
    <n v="121"/>
    <n v="0.57894736842105265"/>
  </r>
  <r>
    <s v="NB10135"/>
    <x v="129"/>
    <s v="P06"/>
    <x v="5"/>
    <s v="Accessories"/>
    <x v="1"/>
    <s v="C005"/>
    <s v="Maple Customer 05"/>
    <x v="1"/>
    <x v="3"/>
    <n v="4"/>
    <n v="55"/>
    <n v="22"/>
    <n v="0.05"/>
    <x v="141"/>
    <n v="88"/>
    <n v="121"/>
    <n v="0.57894736842105265"/>
  </r>
  <r>
    <s v="NB10101"/>
    <x v="102"/>
    <s v="P04"/>
    <x v="6"/>
    <s v="Accessories"/>
    <x v="2"/>
    <s v="C003"/>
    <s v="Hill Customer 03"/>
    <x v="0"/>
    <x v="2"/>
    <n v="7"/>
    <n v="35"/>
    <n v="14"/>
    <n v="0.15"/>
    <x v="142"/>
    <n v="98"/>
    <n v="110.25"/>
    <n v="0.52941176470588236"/>
  </r>
  <r>
    <s v="NB10030"/>
    <x v="100"/>
    <s v="P04"/>
    <x v="6"/>
    <s v="Accessories"/>
    <x v="2"/>
    <s v="C012"/>
    <s v="Oak Customer 12"/>
    <x v="0"/>
    <x v="1"/>
    <n v="6"/>
    <n v="35"/>
    <n v="14"/>
    <n v="0.05"/>
    <x v="143"/>
    <n v="84"/>
    <n v="115.5"/>
    <n v="0.57894736842105265"/>
  </r>
  <r>
    <s v="NB10058"/>
    <x v="33"/>
    <s v="P04"/>
    <x v="6"/>
    <s v="Accessories"/>
    <x v="0"/>
    <s v="C024"/>
    <s v="Oak Customer 24"/>
    <x v="0"/>
    <x v="3"/>
    <n v="6"/>
    <n v="33.25"/>
    <n v="14"/>
    <n v="0"/>
    <x v="143"/>
    <n v="84"/>
    <n v="115.5"/>
    <n v="0.57894736842105265"/>
  </r>
  <r>
    <s v="NB10287"/>
    <x v="130"/>
    <s v="P02"/>
    <x v="2"/>
    <s v="Computers"/>
    <x v="0"/>
    <s v="C001"/>
    <s v="River Customer 01"/>
    <x v="1"/>
    <x v="3"/>
    <n v="1"/>
    <n v="189"/>
    <n v="95"/>
    <n v="0"/>
    <x v="144"/>
    <n v="95"/>
    <n v="94"/>
    <n v="0.49735449735449733"/>
  </r>
  <r>
    <s v="NB10061"/>
    <x v="116"/>
    <s v="P02"/>
    <x v="2"/>
    <s v="Computers"/>
    <x v="2"/>
    <s v="C028"/>
    <s v="Park Customer 28"/>
    <x v="1"/>
    <x v="3"/>
    <n v="1"/>
    <n v="180"/>
    <n v="95"/>
    <n v="0"/>
    <x v="145"/>
    <n v="95"/>
    <n v="85"/>
    <n v="0.47222222222222221"/>
  </r>
  <r>
    <s v="NB10124"/>
    <x v="111"/>
    <s v="P02"/>
    <x v="2"/>
    <s v="Computers"/>
    <x v="0"/>
    <s v="C022"/>
    <s v="Park Customer 22"/>
    <x v="1"/>
    <x v="0"/>
    <n v="1"/>
    <n v="180"/>
    <n v="95"/>
    <n v="0"/>
    <x v="145"/>
    <n v="95"/>
    <n v="85"/>
    <n v="0.47222222222222221"/>
  </r>
  <r>
    <s v="NB10151"/>
    <x v="128"/>
    <s v="P02"/>
    <x v="2"/>
    <s v="Computers"/>
    <x v="3"/>
    <s v="C023"/>
    <s v="Maple Customer 23"/>
    <x v="1"/>
    <x v="2"/>
    <n v="1"/>
    <n v="180"/>
    <n v="95"/>
    <n v="0"/>
    <x v="145"/>
    <n v="95"/>
    <n v="85"/>
    <n v="0.47222222222222221"/>
  </r>
  <r>
    <s v="NB10254"/>
    <x v="41"/>
    <s v="P02"/>
    <x v="2"/>
    <s v="Computers"/>
    <x v="3"/>
    <s v="C001"/>
    <s v="River Customer 01"/>
    <x v="1"/>
    <x v="2"/>
    <n v="1"/>
    <n v="180"/>
    <n v="95"/>
    <n v="0"/>
    <x v="145"/>
    <n v="95"/>
    <n v="85"/>
    <n v="0.47222222222222221"/>
  </r>
  <r>
    <s v="NB10096"/>
    <x v="59"/>
    <s v="P02"/>
    <x v="2"/>
    <s v="Computers"/>
    <x v="3"/>
    <s v="C026"/>
    <s v="Cedar Customer 26"/>
    <x v="1"/>
    <x v="3"/>
    <n v="1"/>
    <n v="189"/>
    <n v="95"/>
    <n v="0.05"/>
    <x v="146"/>
    <n v="95"/>
    <n v="84.549999999999983"/>
    <n v="0.47089947089947087"/>
  </r>
  <r>
    <s v="NB10107"/>
    <x v="131"/>
    <s v="P02"/>
    <x v="2"/>
    <s v="Computers"/>
    <x v="0"/>
    <s v="C013"/>
    <s v="River Customer 13"/>
    <x v="1"/>
    <x v="0"/>
    <n v="1"/>
    <n v="189"/>
    <n v="95"/>
    <n v="0.05"/>
    <x v="146"/>
    <n v="95"/>
    <n v="84.549999999999983"/>
    <n v="0.47089947089947087"/>
  </r>
  <r>
    <s v="NB10349"/>
    <x v="132"/>
    <s v="P07"/>
    <x v="3"/>
    <s v="Furniture"/>
    <x v="2"/>
    <s v="C028"/>
    <s v="Park Customer 28"/>
    <x v="1"/>
    <x v="1"/>
    <n v="1"/>
    <n v="178.5"/>
    <n v="95"/>
    <n v="0"/>
    <x v="147"/>
    <n v="95"/>
    <n v="83.5"/>
    <n v="0.46778711484593838"/>
  </r>
  <r>
    <s v="NB10077"/>
    <x v="58"/>
    <s v="P07"/>
    <x v="3"/>
    <s v="Furniture"/>
    <x v="3"/>
    <s v="C031"/>
    <s v="River Customer 31"/>
    <x v="1"/>
    <x v="1"/>
    <n v="1"/>
    <n v="170"/>
    <n v="95"/>
    <n v="0"/>
    <x v="148"/>
    <n v="95"/>
    <n v="75"/>
    <n v="0.44117647058823528"/>
  </r>
  <r>
    <s v="NB10192"/>
    <x v="51"/>
    <s v="P05"/>
    <x v="7"/>
    <s v="Accessories"/>
    <x v="2"/>
    <s v="C012"/>
    <s v="Oak Customer 12"/>
    <x v="0"/>
    <x v="3"/>
    <n v="10"/>
    <n v="20"/>
    <n v="7"/>
    <n v="0.15"/>
    <x v="148"/>
    <n v="70"/>
    <n v="100"/>
    <n v="0.58823529411764708"/>
  </r>
  <r>
    <s v="NB10209"/>
    <x v="133"/>
    <s v="P07"/>
    <x v="3"/>
    <s v="Furniture"/>
    <x v="3"/>
    <s v="C016"/>
    <s v="Park Customer 16"/>
    <x v="1"/>
    <x v="2"/>
    <n v="1"/>
    <n v="170"/>
    <n v="95"/>
    <n v="0"/>
    <x v="148"/>
    <n v="95"/>
    <n v="75"/>
    <n v="0.44117647058823528"/>
  </r>
  <r>
    <s v="NB10318"/>
    <x v="114"/>
    <s v="P04"/>
    <x v="6"/>
    <s v="Accessories"/>
    <x v="1"/>
    <s v="C018"/>
    <s v="Oak Customer 18"/>
    <x v="0"/>
    <x v="1"/>
    <n v="6"/>
    <n v="33.25"/>
    <n v="14"/>
    <n v="0.15"/>
    <x v="149"/>
    <n v="84"/>
    <n v="85.574999999999989"/>
    <n v="0.50464396284829716"/>
  </r>
  <r>
    <s v="NB10147"/>
    <x v="134"/>
    <s v="P06"/>
    <x v="5"/>
    <s v="Accessories"/>
    <x v="2"/>
    <s v="C026"/>
    <s v="Cedar Customer 26"/>
    <x v="1"/>
    <x v="1"/>
    <n v="3"/>
    <n v="55"/>
    <n v="22"/>
    <n v="0"/>
    <x v="150"/>
    <n v="66"/>
    <n v="99"/>
    <n v="0.6"/>
  </r>
  <r>
    <s v="NB10203"/>
    <x v="105"/>
    <s v="P06"/>
    <x v="5"/>
    <s v="Accessories"/>
    <x v="0"/>
    <s v="C028"/>
    <s v="Park Customer 28"/>
    <x v="1"/>
    <x v="1"/>
    <n v="3"/>
    <n v="55"/>
    <n v="22"/>
    <n v="0"/>
    <x v="150"/>
    <n v="66"/>
    <n v="99"/>
    <n v="0.6"/>
  </r>
  <r>
    <s v="NB10230"/>
    <x v="3"/>
    <s v="P06"/>
    <x v="5"/>
    <s v="Accessories"/>
    <x v="2"/>
    <s v="C001"/>
    <s v="River Customer 01"/>
    <x v="1"/>
    <x v="2"/>
    <n v="3"/>
    <n v="55"/>
    <n v="22"/>
    <n v="0"/>
    <x v="150"/>
    <n v="66"/>
    <n v="99"/>
    <n v="0.6"/>
  </r>
  <r>
    <s v="NB10268"/>
    <x v="135"/>
    <s v="P06"/>
    <x v="5"/>
    <s v="Accessories"/>
    <x v="2"/>
    <s v="C006"/>
    <s v="Oak Customer 06"/>
    <x v="0"/>
    <x v="3"/>
    <n v="3"/>
    <n v="55"/>
    <n v="22"/>
    <n v="0"/>
    <x v="150"/>
    <n v="66"/>
    <n v="99"/>
    <n v="0.6"/>
  </r>
  <r>
    <s v="NB10175"/>
    <x v="101"/>
    <s v="P07"/>
    <x v="3"/>
    <s v="Furniture"/>
    <x v="3"/>
    <s v="C031"/>
    <s v="River Customer 31"/>
    <x v="1"/>
    <x v="2"/>
    <n v="1"/>
    <n v="170"/>
    <n v="95"/>
    <n v="0.05"/>
    <x v="151"/>
    <n v="95"/>
    <n v="66.5"/>
    <n v="0.41176470588235292"/>
  </r>
  <r>
    <s v="NB10316"/>
    <x v="77"/>
    <s v="P07"/>
    <x v="3"/>
    <s v="Furniture"/>
    <x v="3"/>
    <s v="C011"/>
    <s v="Maple Customer 11"/>
    <x v="1"/>
    <x v="2"/>
    <n v="1"/>
    <n v="170"/>
    <n v="95"/>
    <n v="0.05"/>
    <x v="151"/>
    <n v="95"/>
    <n v="66.5"/>
    <n v="0.41176470588235292"/>
  </r>
  <r>
    <s v="NB10306"/>
    <x v="52"/>
    <s v="P07"/>
    <x v="3"/>
    <s v="Furniture"/>
    <x v="1"/>
    <s v="C002"/>
    <s v="Cedar Customer 02"/>
    <x v="1"/>
    <x v="0"/>
    <n v="1"/>
    <n v="178.5"/>
    <n v="95"/>
    <n v="0.1"/>
    <x v="152"/>
    <n v="95"/>
    <n v="65.650000000000006"/>
    <n v="0.40865234982882043"/>
  </r>
  <r>
    <s v="NB10347"/>
    <x v="50"/>
    <s v="P05"/>
    <x v="7"/>
    <s v="Accessories"/>
    <x v="0"/>
    <s v="C012"/>
    <s v="Oak Customer 12"/>
    <x v="0"/>
    <x v="1"/>
    <n v="8"/>
    <n v="20"/>
    <n v="7"/>
    <n v="0"/>
    <x v="153"/>
    <n v="56"/>
    <n v="104"/>
    <n v="0.65"/>
  </r>
  <r>
    <s v="NB10003"/>
    <x v="87"/>
    <s v="P06"/>
    <x v="5"/>
    <s v="Accessories"/>
    <x v="0"/>
    <s v="C034"/>
    <s v="Park Customer 34"/>
    <x v="1"/>
    <x v="3"/>
    <n v="3"/>
    <n v="55"/>
    <n v="22"/>
    <n v="0.05"/>
    <x v="154"/>
    <n v="66"/>
    <n v="90.75"/>
    <n v="0.57894736842105265"/>
  </r>
  <r>
    <s v="NB10065"/>
    <x v="136"/>
    <s v="P06"/>
    <x v="5"/>
    <s v="Accessories"/>
    <x v="0"/>
    <s v="C005"/>
    <s v="Maple Customer 05"/>
    <x v="1"/>
    <x v="3"/>
    <n v="3"/>
    <n v="55"/>
    <n v="22"/>
    <n v="0.05"/>
    <x v="154"/>
    <n v="66"/>
    <n v="90.75"/>
    <n v="0.57894736842105265"/>
  </r>
  <r>
    <s v="NB10162"/>
    <x v="137"/>
    <s v="P06"/>
    <x v="5"/>
    <s v="Accessories"/>
    <x v="0"/>
    <s v="C016"/>
    <s v="Park Customer 16"/>
    <x v="1"/>
    <x v="3"/>
    <n v="3"/>
    <n v="52.25"/>
    <n v="22"/>
    <n v="0"/>
    <x v="154"/>
    <n v="66"/>
    <n v="90.75"/>
    <n v="0.57894736842105265"/>
  </r>
  <r>
    <s v="NB10235"/>
    <x v="118"/>
    <s v="P07"/>
    <x v="3"/>
    <s v="Furniture"/>
    <x v="2"/>
    <s v="C006"/>
    <s v="Oak Customer 06"/>
    <x v="0"/>
    <x v="0"/>
    <n v="1"/>
    <n v="161.5"/>
    <n v="95"/>
    <n v="0.05"/>
    <x v="155"/>
    <n v="95"/>
    <n v="58.424999999999983"/>
    <n v="0.38080495356037147"/>
  </r>
  <r>
    <s v="NB10360"/>
    <x v="28"/>
    <s v="P07"/>
    <x v="3"/>
    <s v="Furniture"/>
    <x v="2"/>
    <s v="C019"/>
    <s v="River Customer 19"/>
    <x v="1"/>
    <x v="2"/>
    <n v="1"/>
    <n v="170"/>
    <n v="95"/>
    <n v="0.1"/>
    <x v="156"/>
    <n v="95"/>
    <n v="58"/>
    <n v="0.37908496732026142"/>
  </r>
  <r>
    <s v="NB10154"/>
    <x v="138"/>
    <s v="P04"/>
    <x v="6"/>
    <s v="Accessories"/>
    <x v="3"/>
    <s v="C030"/>
    <s v="Oak Customer 30"/>
    <x v="0"/>
    <x v="0"/>
    <n v="5"/>
    <n v="35"/>
    <n v="14"/>
    <n v="0.15"/>
    <x v="157"/>
    <n v="70"/>
    <n v="78.75"/>
    <n v="0.52941176470588236"/>
  </r>
  <r>
    <s v="NB10038"/>
    <x v="139"/>
    <s v="P06"/>
    <x v="5"/>
    <s v="Accessories"/>
    <x v="2"/>
    <s v="C019"/>
    <s v="River Customer 19"/>
    <x v="1"/>
    <x v="2"/>
    <n v="3"/>
    <n v="55"/>
    <n v="22"/>
    <n v="0.1"/>
    <x v="158"/>
    <n v="66"/>
    <n v="82.5"/>
    <n v="0.55555555555555558"/>
  </r>
  <r>
    <s v="NB10082"/>
    <x v="30"/>
    <s v="P06"/>
    <x v="5"/>
    <s v="Accessories"/>
    <x v="3"/>
    <s v="C040"/>
    <s v="Park Customer 40"/>
    <x v="1"/>
    <x v="1"/>
    <n v="3"/>
    <n v="55"/>
    <n v="22"/>
    <n v="0.1"/>
    <x v="158"/>
    <n v="66"/>
    <n v="82.5"/>
    <n v="0.55555555555555558"/>
  </r>
  <r>
    <s v="NB10109"/>
    <x v="73"/>
    <s v="P05"/>
    <x v="7"/>
    <s v="Accessories"/>
    <x v="0"/>
    <s v="C009"/>
    <s v="Hill Customer 09"/>
    <x v="0"/>
    <x v="1"/>
    <n v="7"/>
    <n v="21"/>
    <n v="7"/>
    <n v="0"/>
    <x v="159"/>
    <n v="49"/>
    <n v="98"/>
    <n v="0.66666666666666663"/>
  </r>
  <r>
    <s v="NB10171"/>
    <x v="3"/>
    <s v="P04"/>
    <x v="6"/>
    <s v="Accessories"/>
    <x v="0"/>
    <s v="C013"/>
    <s v="River Customer 13"/>
    <x v="1"/>
    <x v="3"/>
    <n v="4"/>
    <n v="36.75"/>
    <n v="14"/>
    <n v="0"/>
    <x v="159"/>
    <n v="56"/>
    <n v="91"/>
    <n v="0.61904761904761907"/>
  </r>
  <r>
    <s v="NB10214"/>
    <x v="43"/>
    <s v="P04"/>
    <x v="6"/>
    <s v="Accessories"/>
    <x v="0"/>
    <s v="C001"/>
    <s v="River Customer 01"/>
    <x v="1"/>
    <x v="0"/>
    <n v="4"/>
    <n v="36.75"/>
    <n v="14"/>
    <n v="0"/>
    <x v="159"/>
    <n v="56"/>
    <n v="91"/>
    <n v="0.61904761904761907"/>
  </r>
  <r>
    <s v="NB10267"/>
    <x v="140"/>
    <s v="P07"/>
    <x v="3"/>
    <s v="Furniture"/>
    <x v="1"/>
    <s v="C016"/>
    <s v="Park Customer 16"/>
    <x v="1"/>
    <x v="2"/>
    <n v="1"/>
    <n v="170"/>
    <n v="95"/>
    <n v="0.15"/>
    <x v="160"/>
    <n v="95"/>
    <n v="49.5"/>
    <n v="0.34256055363321797"/>
  </r>
  <r>
    <s v="NB10227"/>
    <x v="89"/>
    <s v="P05"/>
    <x v="7"/>
    <s v="Accessories"/>
    <x v="0"/>
    <s v="C039"/>
    <s v="Hill Customer 39"/>
    <x v="0"/>
    <x v="3"/>
    <n v="8"/>
    <n v="19"/>
    <n v="7"/>
    <n v="0.05"/>
    <x v="161"/>
    <n v="56"/>
    <n v="88.4"/>
    <n v="0.61218836565096957"/>
  </r>
  <r>
    <s v="NB10128"/>
    <x v="141"/>
    <s v="P06"/>
    <x v="5"/>
    <s v="Accessories"/>
    <x v="2"/>
    <s v="C005"/>
    <s v="Maple Customer 05"/>
    <x v="1"/>
    <x v="0"/>
    <n v="3"/>
    <n v="55"/>
    <n v="22"/>
    <n v="0.15"/>
    <x v="162"/>
    <n v="66"/>
    <n v="74.25"/>
    <n v="0.52941176470588236"/>
  </r>
  <r>
    <s v="NB10195"/>
    <x v="142"/>
    <s v="P04"/>
    <x v="6"/>
    <s v="Accessories"/>
    <x v="0"/>
    <s v="C013"/>
    <s v="River Customer 13"/>
    <x v="1"/>
    <x v="2"/>
    <n v="4"/>
    <n v="35"/>
    <n v="14"/>
    <n v="0"/>
    <x v="163"/>
    <n v="56"/>
    <n v="84"/>
    <n v="0.6"/>
  </r>
  <r>
    <s v="NB10125"/>
    <x v="93"/>
    <s v="P05"/>
    <x v="7"/>
    <s v="Accessories"/>
    <x v="0"/>
    <s v="C018"/>
    <s v="Oak Customer 18"/>
    <x v="0"/>
    <x v="3"/>
    <n v="7"/>
    <n v="20"/>
    <n v="7"/>
    <n v="0.05"/>
    <x v="164"/>
    <n v="49"/>
    <n v="84"/>
    <n v="0.63157894736842102"/>
  </r>
  <r>
    <s v="NB10132"/>
    <x v="6"/>
    <s v="P08"/>
    <x v="4"/>
    <s v="Furniture"/>
    <x v="0"/>
    <s v="C017"/>
    <s v="Maple Customer 17"/>
    <x v="1"/>
    <x v="2"/>
    <n v="1"/>
    <n v="130"/>
    <n v="65"/>
    <n v="0"/>
    <x v="165"/>
    <n v="65"/>
    <n v="65"/>
    <n v="0.5"/>
  </r>
  <r>
    <s v="NB10213"/>
    <x v="143"/>
    <s v="P08"/>
    <x v="4"/>
    <s v="Furniture"/>
    <x v="0"/>
    <s v="C001"/>
    <s v="River Customer 01"/>
    <x v="1"/>
    <x v="2"/>
    <n v="1"/>
    <n v="130"/>
    <n v="65"/>
    <n v="0"/>
    <x v="165"/>
    <n v="65"/>
    <n v="65"/>
    <n v="0.5"/>
  </r>
  <r>
    <s v="NB10238"/>
    <x v="144"/>
    <s v="P08"/>
    <x v="4"/>
    <s v="Furniture"/>
    <x v="2"/>
    <s v="C001"/>
    <s v="River Customer 01"/>
    <x v="1"/>
    <x v="1"/>
    <n v="1"/>
    <n v="130"/>
    <n v="65"/>
    <n v="0"/>
    <x v="165"/>
    <n v="65"/>
    <n v="65"/>
    <n v="0.5"/>
  </r>
  <r>
    <s v="NB10329"/>
    <x v="68"/>
    <s v="P08"/>
    <x v="4"/>
    <s v="Furniture"/>
    <x v="3"/>
    <s v="C023"/>
    <s v="Maple Customer 23"/>
    <x v="1"/>
    <x v="1"/>
    <n v="1"/>
    <n v="130"/>
    <n v="65"/>
    <n v="0"/>
    <x v="165"/>
    <n v="65"/>
    <n v="65"/>
    <n v="0.5"/>
  </r>
  <r>
    <s v="NB10067"/>
    <x v="34"/>
    <s v="P04"/>
    <x v="6"/>
    <s v="Accessories"/>
    <x v="2"/>
    <s v="C015"/>
    <s v="Hill Customer 15"/>
    <x v="0"/>
    <x v="0"/>
    <n v="4"/>
    <n v="35"/>
    <n v="14"/>
    <n v="0.1"/>
    <x v="166"/>
    <n v="56"/>
    <n v="70"/>
    <n v="0.55555555555555558"/>
  </r>
  <r>
    <s v="NB10177"/>
    <x v="138"/>
    <s v="P04"/>
    <x v="6"/>
    <s v="Accessories"/>
    <x v="3"/>
    <s v="C014"/>
    <s v="Cedar Customer 14"/>
    <x v="1"/>
    <x v="2"/>
    <n v="4"/>
    <n v="36.75"/>
    <n v="14"/>
    <n v="0.15"/>
    <x v="167"/>
    <n v="56"/>
    <n v="68.95"/>
    <n v="0.55182072829131656"/>
  </r>
  <r>
    <s v="NB10188"/>
    <x v="100"/>
    <s v="P08"/>
    <x v="4"/>
    <s v="Furniture"/>
    <x v="1"/>
    <s v="C021"/>
    <s v="Hill Customer 21"/>
    <x v="0"/>
    <x v="3"/>
    <n v="1"/>
    <n v="123.5"/>
    <n v="65"/>
    <n v="0"/>
    <x v="168"/>
    <n v="65"/>
    <n v="58.5"/>
    <n v="0.47368421052631576"/>
  </r>
  <r>
    <s v="NB10194"/>
    <x v="112"/>
    <s v="P08"/>
    <x v="4"/>
    <s v="Furniture"/>
    <x v="1"/>
    <s v="C025"/>
    <s v="River Customer 25"/>
    <x v="1"/>
    <x v="2"/>
    <n v="1"/>
    <n v="123.5"/>
    <n v="65"/>
    <n v="0"/>
    <x v="168"/>
    <n v="65"/>
    <n v="58.5"/>
    <n v="0.47368421052631576"/>
  </r>
  <r>
    <s v="NB10269"/>
    <x v="35"/>
    <s v="P08"/>
    <x v="4"/>
    <s v="Furniture"/>
    <x v="3"/>
    <s v="C028"/>
    <s v="Park Customer 28"/>
    <x v="1"/>
    <x v="0"/>
    <n v="1"/>
    <n v="136.5"/>
    <n v="65"/>
    <n v="0.1"/>
    <x v="169"/>
    <n v="65"/>
    <n v="57.850000000000009"/>
    <n v="0.47089947089947093"/>
  </r>
  <r>
    <s v="NB10182"/>
    <x v="7"/>
    <s v="P04"/>
    <x v="6"/>
    <s v="Accessories"/>
    <x v="2"/>
    <s v="C020"/>
    <s v="Cedar Customer 20"/>
    <x v="1"/>
    <x v="1"/>
    <n v="4"/>
    <n v="35"/>
    <n v="14"/>
    <n v="0.15"/>
    <x v="170"/>
    <n v="56"/>
    <n v="63"/>
    <n v="0.52941176470588236"/>
  </r>
  <r>
    <s v="NB10332"/>
    <x v="145"/>
    <s v="P04"/>
    <x v="6"/>
    <s v="Accessories"/>
    <x v="2"/>
    <s v="C018"/>
    <s v="Oak Customer 18"/>
    <x v="0"/>
    <x v="3"/>
    <n v="4"/>
    <n v="35"/>
    <n v="14"/>
    <n v="0.15"/>
    <x v="170"/>
    <n v="56"/>
    <n v="63"/>
    <n v="0.52941176470588236"/>
  </r>
  <r>
    <s v="NB10133"/>
    <x v="3"/>
    <s v="P08"/>
    <x v="4"/>
    <s v="Furniture"/>
    <x v="2"/>
    <s v="C022"/>
    <s v="Park Customer 22"/>
    <x v="1"/>
    <x v="2"/>
    <n v="1"/>
    <n v="130"/>
    <n v="65"/>
    <n v="0.1"/>
    <x v="171"/>
    <n v="65"/>
    <n v="52"/>
    <n v="0.44444444444444442"/>
  </r>
  <r>
    <s v="NB10322"/>
    <x v="80"/>
    <s v="P06"/>
    <x v="5"/>
    <s v="Accessories"/>
    <x v="0"/>
    <s v="C029"/>
    <s v="Maple Customer 29"/>
    <x v="1"/>
    <x v="0"/>
    <n v="2"/>
    <n v="55"/>
    <n v="22"/>
    <n v="0"/>
    <x v="172"/>
    <n v="44"/>
    <n v="66"/>
    <n v="0.6"/>
  </r>
  <r>
    <s v="NB10011"/>
    <x v="39"/>
    <s v="P05"/>
    <x v="7"/>
    <s v="Accessories"/>
    <x v="2"/>
    <s v="C033"/>
    <s v="Hill Customer 33"/>
    <x v="0"/>
    <x v="2"/>
    <n v="6"/>
    <n v="21"/>
    <n v="7"/>
    <n v="0.15"/>
    <x v="173"/>
    <n v="42"/>
    <n v="65.099999999999994"/>
    <n v="0.60784313725490191"/>
  </r>
  <r>
    <s v="NB10014"/>
    <x v="107"/>
    <s v="P04"/>
    <x v="6"/>
    <s v="Accessories"/>
    <x v="0"/>
    <s v="C038"/>
    <s v="Cedar Customer 38"/>
    <x v="1"/>
    <x v="3"/>
    <n v="3"/>
    <n v="35"/>
    <n v="14"/>
    <n v="0"/>
    <x v="174"/>
    <n v="42"/>
    <n v="63"/>
    <n v="0.6"/>
  </r>
  <r>
    <s v="NB10097"/>
    <x v="125"/>
    <s v="P04"/>
    <x v="6"/>
    <s v="Accessories"/>
    <x v="0"/>
    <s v="C029"/>
    <s v="Maple Customer 29"/>
    <x v="1"/>
    <x v="1"/>
    <n v="3"/>
    <n v="35"/>
    <n v="14"/>
    <n v="0"/>
    <x v="174"/>
    <n v="42"/>
    <n v="63"/>
    <n v="0.6"/>
  </r>
  <r>
    <s v="NB10042"/>
    <x v="146"/>
    <s v="P06"/>
    <x v="5"/>
    <s v="Accessories"/>
    <x v="2"/>
    <s v="C027"/>
    <s v="Hill Customer 27"/>
    <x v="0"/>
    <x v="0"/>
    <n v="2"/>
    <n v="52.25"/>
    <n v="22"/>
    <n v="0"/>
    <x v="175"/>
    <n v="44"/>
    <n v="60.5"/>
    <n v="0.57894736842105265"/>
  </r>
  <r>
    <s v="NB10110"/>
    <x v="32"/>
    <s v="P06"/>
    <x v="5"/>
    <s v="Accessories"/>
    <x v="1"/>
    <s v="C028"/>
    <s v="Park Customer 28"/>
    <x v="1"/>
    <x v="2"/>
    <n v="2"/>
    <n v="52.25"/>
    <n v="22"/>
    <n v="0"/>
    <x v="175"/>
    <n v="44"/>
    <n v="60.5"/>
    <n v="0.57894736842105265"/>
  </r>
  <r>
    <s v="NB10240"/>
    <x v="36"/>
    <s v="P06"/>
    <x v="5"/>
    <s v="Accessories"/>
    <x v="3"/>
    <s v="C019"/>
    <s v="River Customer 19"/>
    <x v="1"/>
    <x v="3"/>
    <n v="2"/>
    <n v="55"/>
    <n v="22"/>
    <n v="0.05"/>
    <x v="175"/>
    <n v="44"/>
    <n v="60.5"/>
    <n v="0.57894736842105265"/>
  </r>
  <r>
    <s v="NB10255"/>
    <x v="147"/>
    <s v="P05"/>
    <x v="7"/>
    <s v="Accessories"/>
    <x v="2"/>
    <s v="C021"/>
    <s v="Hill Customer 21"/>
    <x v="0"/>
    <x v="0"/>
    <n v="6"/>
    <n v="20"/>
    <n v="7"/>
    <n v="0.15"/>
    <x v="176"/>
    <n v="42"/>
    <n v="60"/>
    <n v="0.58823529411764708"/>
  </r>
  <r>
    <s v="NB10007"/>
    <x v="99"/>
    <s v="P05"/>
    <x v="7"/>
    <s v="Accessories"/>
    <x v="2"/>
    <s v="C009"/>
    <s v="Hill Customer 09"/>
    <x v="0"/>
    <x v="0"/>
    <n v="5"/>
    <n v="20"/>
    <n v="7"/>
    <n v="0"/>
    <x v="177"/>
    <n v="35"/>
    <n v="65"/>
    <n v="0.65"/>
  </r>
  <r>
    <s v="NB10049"/>
    <x v="67"/>
    <s v="P04"/>
    <x v="6"/>
    <s v="Accessories"/>
    <x v="3"/>
    <s v="C012"/>
    <s v="Oak Customer 12"/>
    <x v="0"/>
    <x v="3"/>
    <n v="3"/>
    <n v="33.25"/>
    <n v="14"/>
    <n v="0"/>
    <x v="178"/>
    <n v="42"/>
    <n v="57.75"/>
    <n v="0.57894736842105265"/>
  </r>
  <r>
    <s v="NB10131"/>
    <x v="11"/>
    <s v="P04"/>
    <x v="6"/>
    <s v="Accessories"/>
    <x v="0"/>
    <s v="C005"/>
    <s v="Maple Customer 05"/>
    <x v="1"/>
    <x v="1"/>
    <n v="3"/>
    <n v="35"/>
    <n v="14"/>
    <n v="0.05"/>
    <x v="178"/>
    <n v="42"/>
    <n v="57.75"/>
    <n v="0.57894736842105265"/>
  </r>
  <r>
    <s v="NB10317"/>
    <x v="148"/>
    <s v="P04"/>
    <x v="6"/>
    <s v="Accessories"/>
    <x v="1"/>
    <s v="C036"/>
    <s v="Oak Customer 36"/>
    <x v="0"/>
    <x v="3"/>
    <n v="3"/>
    <n v="33.25"/>
    <n v="14"/>
    <n v="0"/>
    <x v="178"/>
    <n v="42"/>
    <n v="57.75"/>
    <n v="0.57894736842105265"/>
  </r>
  <r>
    <s v="NB10064"/>
    <x v="11"/>
    <s v="P06"/>
    <x v="5"/>
    <s v="Accessories"/>
    <x v="3"/>
    <s v="C019"/>
    <s v="River Customer 19"/>
    <x v="1"/>
    <x v="0"/>
    <n v="2"/>
    <n v="55"/>
    <n v="22"/>
    <n v="0.1"/>
    <x v="179"/>
    <n v="44"/>
    <n v="55"/>
    <n v="0.55555555555555558"/>
  </r>
  <r>
    <s v="NB10351"/>
    <x v="63"/>
    <s v="P06"/>
    <x v="5"/>
    <s v="Accessories"/>
    <x v="3"/>
    <s v="C020"/>
    <s v="Cedar Customer 20"/>
    <x v="1"/>
    <x v="3"/>
    <n v="2"/>
    <n v="55"/>
    <n v="22"/>
    <n v="0.1"/>
    <x v="179"/>
    <n v="44"/>
    <n v="55"/>
    <n v="0.55555555555555558"/>
  </r>
  <r>
    <s v="NB10068"/>
    <x v="149"/>
    <s v="P04"/>
    <x v="6"/>
    <s v="Accessories"/>
    <x v="2"/>
    <s v="C031"/>
    <s v="River Customer 31"/>
    <x v="1"/>
    <x v="2"/>
    <n v="3"/>
    <n v="33.25"/>
    <n v="14"/>
    <n v="0.05"/>
    <x v="180"/>
    <n v="42"/>
    <n v="52.762499999999989"/>
    <n v="0.55678670360110794"/>
  </r>
  <r>
    <s v="NB10046"/>
    <x v="58"/>
    <s v="P04"/>
    <x v="6"/>
    <s v="Accessories"/>
    <x v="0"/>
    <s v="C017"/>
    <s v="Maple Customer 17"/>
    <x v="1"/>
    <x v="2"/>
    <n v="3"/>
    <n v="36.75"/>
    <n v="14"/>
    <n v="0.15"/>
    <x v="181"/>
    <n v="42"/>
    <n v="51.712499999999991"/>
    <n v="0.55182072829131645"/>
  </r>
  <r>
    <s v="NB10066"/>
    <x v="150"/>
    <s v="P04"/>
    <x v="6"/>
    <s v="Accessories"/>
    <x v="3"/>
    <s v="C007"/>
    <s v="River Customer 07"/>
    <x v="1"/>
    <x v="0"/>
    <n v="3"/>
    <n v="36.75"/>
    <n v="14"/>
    <n v="0.15"/>
    <x v="181"/>
    <n v="42"/>
    <n v="51.712499999999991"/>
    <n v="0.55182072829131645"/>
  </r>
  <r>
    <s v="NB10199"/>
    <x v="151"/>
    <s v="P04"/>
    <x v="6"/>
    <s v="Accessories"/>
    <x v="2"/>
    <s v="C003"/>
    <s v="Hill Customer 03"/>
    <x v="0"/>
    <x v="2"/>
    <n v="3"/>
    <n v="36.75"/>
    <n v="14"/>
    <n v="0.15"/>
    <x v="181"/>
    <n v="42"/>
    <n v="51.712499999999991"/>
    <n v="0.55182072829131645"/>
  </r>
  <r>
    <s v="NB10084"/>
    <x v="73"/>
    <s v="P06"/>
    <x v="5"/>
    <s v="Accessories"/>
    <x v="1"/>
    <s v="C013"/>
    <s v="River Customer 13"/>
    <x v="1"/>
    <x v="3"/>
    <n v="2"/>
    <n v="55"/>
    <n v="22"/>
    <n v="0.15"/>
    <x v="182"/>
    <n v="44"/>
    <n v="49.5"/>
    <n v="0.52941176470588236"/>
  </r>
  <r>
    <s v="NB10226"/>
    <x v="65"/>
    <s v="P06"/>
    <x v="5"/>
    <s v="Accessories"/>
    <x v="0"/>
    <s v="C010"/>
    <s v="Park Customer 10"/>
    <x v="1"/>
    <x v="2"/>
    <n v="2"/>
    <n v="55"/>
    <n v="22"/>
    <n v="0.15"/>
    <x v="182"/>
    <n v="44"/>
    <n v="49.5"/>
    <n v="0.52941176470588236"/>
  </r>
  <r>
    <s v="NB10040"/>
    <x v="86"/>
    <s v="P04"/>
    <x v="6"/>
    <s v="Accessories"/>
    <x v="3"/>
    <s v="C025"/>
    <s v="River Customer 25"/>
    <x v="1"/>
    <x v="1"/>
    <n v="3"/>
    <n v="35"/>
    <n v="14"/>
    <n v="0.15"/>
    <x v="183"/>
    <n v="42"/>
    <n v="47.25"/>
    <n v="0.52941176470588236"/>
  </r>
  <r>
    <s v="NB10165"/>
    <x v="84"/>
    <s v="P05"/>
    <x v="7"/>
    <s v="Accessories"/>
    <x v="0"/>
    <s v="C040"/>
    <s v="Park Customer 40"/>
    <x v="1"/>
    <x v="0"/>
    <n v="4"/>
    <n v="21"/>
    <n v="7"/>
    <n v="0"/>
    <x v="184"/>
    <n v="28"/>
    <n v="56"/>
    <n v="0.66666666666666663"/>
  </r>
  <r>
    <s v="NB10138"/>
    <x v="81"/>
    <s v="P05"/>
    <x v="7"/>
    <s v="Accessories"/>
    <x v="1"/>
    <s v="C020"/>
    <s v="Cedar Customer 20"/>
    <x v="1"/>
    <x v="2"/>
    <n v="4"/>
    <n v="20"/>
    <n v="7"/>
    <n v="0"/>
    <x v="185"/>
    <n v="28"/>
    <n v="52"/>
    <n v="0.65"/>
  </r>
  <r>
    <s v="NB10191"/>
    <x v="75"/>
    <s v="P05"/>
    <x v="7"/>
    <s v="Accessories"/>
    <x v="3"/>
    <s v="C002"/>
    <s v="Cedar Customer 02"/>
    <x v="1"/>
    <x v="3"/>
    <n v="4"/>
    <n v="20"/>
    <n v="7"/>
    <n v="0"/>
    <x v="185"/>
    <n v="28"/>
    <n v="52"/>
    <n v="0.65"/>
  </r>
  <r>
    <s v="NB10247"/>
    <x v="61"/>
    <s v="P05"/>
    <x v="7"/>
    <s v="Accessories"/>
    <x v="2"/>
    <s v="C025"/>
    <s v="River Customer 25"/>
    <x v="1"/>
    <x v="0"/>
    <n v="4"/>
    <n v="20"/>
    <n v="7"/>
    <n v="0"/>
    <x v="185"/>
    <n v="28"/>
    <n v="52"/>
    <n v="0.65"/>
  </r>
  <r>
    <s v="NB10343"/>
    <x v="31"/>
    <s v="P05"/>
    <x v="7"/>
    <s v="Accessories"/>
    <x v="3"/>
    <s v="C008"/>
    <s v="Cedar Customer 08"/>
    <x v="1"/>
    <x v="3"/>
    <n v="4"/>
    <n v="20"/>
    <n v="7"/>
    <n v="0"/>
    <x v="185"/>
    <n v="28"/>
    <n v="52"/>
    <n v="0.65"/>
  </r>
  <r>
    <s v="NB10310"/>
    <x v="14"/>
    <s v="P05"/>
    <x v="7"/>
    <s v="Accessories"/>
    <x v="0"/>
    <s v="C017"/>
    <s v="Maple Customer 17"/>
    <x v="1"/>
    <x v="1"/>
    <n v="4"/>
    <n v="21"/>
    <n v="7"/>
    <n v="0.05"/>
    <x v="186"/>
    <n v="28"/>
    <n v="51.8"/>
    <n v="0.64912280701754388"/>
  </r>
  <r>
    <s v="NB10204"/>
    <x v="124"/>
    <s v="P05"/>
    <x v="7"/>
    <s v="Accessories"/>
    <x v="2"/>
    <s v="C022"/>
    <s v="Park Customer 22"/>
    <x v="1"/>
    <x v="1"/>
    <n v="4"/>
    <n v="20"/>
    <n v="7"/>
    <n v="0.05"/>
    <x v="187"/>
    <n v="28"/>
    <n v="48"/>
    <n v="0.63157894736842102"/>
  </r>
  <r>
    <s v="NB10244"/>
    <x v="56"/>
    <s v="P05"/>
    <x v="7"/>
    <s v="Accessories"/>
    <x v="0"/>
    <s v="C026"/>
    <s v="Cedar Customer 26"/>
    <x v="1"/>
    <x v="0"/>
    <n v="4"/>
    <n v="20"/>
    <n v="7"/>
    <n v="0.05"/>
    <x v="187"/>
    <n v="28"/>
    <n v="48"/>
    <n v="0.63157894736842102"/>
  </r>
  <r>
    <s v="NB10211"/>
    <x v="44"/>
    <s v="P05"/>
    <x v="7"/>
    <s v="Accessories"/>
    <x v="3"/>
    <s v="C011"/>
    <s v="Maple Customer 11"/>
    <x v="1"/>
    <x v="0"/>
    <n v="4"/>
    <n v="21"/>
    <n v="7"/>
    <n v="0.1"/>
    <x v="188"/>
    <n v="28"/>
    <n v="47.600000000000009"/>
    <n v="0.62962962962962965"/>
  </r>
  <r>
    <s v="NB10034"/>
    <x v="95"/>
    <s v="P04"/>
    <x v="6"/>
    <s v="Accessories"/>
    <x v="1"/>
    <s v="C034"/>
    <s v="Park Customer 34"/>
    <x v="1"/>
    <x v="2"/>
    <n v="2"/>
    <n v="36.75"/>
    <n v="14"/>
    <n v="0"/>
    <x v="189"/>
    <n v="28"/>
    <n v="45.5"/>
    <n v="0.61904761904761907"/>
  </r>
  <r>
    <s v="NB10053"/>
    <x v="16"/>
    <s v="P04"/>
    <x v="6"/>
    <s v="Accessories"/>
    <x v="0"/>
    <s v="C018"/>
    <s v="Oak Customer 18"/>
    <x v="0"/>
    <x v="2"/>
    <n v="2"/>
    <n v="36.75"/>
    <n v="14"/>
    <n v="0"/>
    <x v="189"/>
    <n v="28"/>
    <n v="45.5"/>
    <n v="0.61904761904761907"/>
  </r>
  <r>
    <s v="NB10069"/>
    <x v="62"/>
    <s v="P05"/>
    <x v="7"/>
    <s v="Accessories"/>
    <x v="3"/>
    <s v="C027"/>
    <s v="Hill Customer 27"/>
    <x v="0"/>
    <x v="3"/>
    <n v="4"/>
    <n v="19"/>
    <n v="7"/>
    <n v="0.05"/>
    <x v="190"/>
    <n v="28"/>
    <n v="44.2"/>
    <n v="0.61218836565096957"/>
  </r>
  <r>
    <s v="NB10149"/>
    <x v="4"/>
    <s v="P05"/>
    <x v="7"/>
    <s v="Accessories"/>
    <x v="2"/>
    <s v="C029"/>
    <s v="Maple Customer 29"/>
    <x v="1"/>
    <x v="2"/>
    <n v="4"/>
    <n v="19"/>
    <n v="7"/>
    <n v="0.05"/>
    <x v="190"/>
    <n v="28"/>
    <n v="44.2"/>
    <n v="0.61218836565096957"/>
  </r>
  <r>
    <s v="NB10009"/>
    <x v="94"/>
    <s v="P04"/>
    <x v="6"/>
    <s v="Accessories"/>
    <x v="2"/>
    <s v="C026"/>
    <s v="Cedar Customer 26"/>
    <x v="1"/>
    <x v="0"/>
    <n v="2"/>
    <n v="35"/>
    <n v="14"/>
    <n v="0"/>
    <x v="191"/>
    <n v="28"/>
    <n v="42"/>
    <n v="0.6"/>
  </r>
  <r>
    <s v="NB10176"/>
    <x v="152"/>
    <s v="P04"/>
    <x v="6"/>
    <s v="Accessories"/>
    <x v="2"/>
    <s v="C035"/>
    <s v="Maple Customer 35"/>
    <x v="1"/>
    <x v="2"/>
    <n v="2"/>
    <n v="35"/>
    <n v="14"/>
    <n v="0"/>
    <x v="191"/>
    <n v="28"/>
    <n v="42"/>
    <n v="0.6"/>
  </r>
  <r>
    <s v="NB10291"/>
    <x v="16"/>
    <s v="P04"/>
    <x v="6"/>
    <s v="Accessories"/>
    <x v="0"/>
    <s v="C040"/>
    <s v="Park Customer 40"/>
    <x v="1"/>
    <x v="1"/>
    <n v="2"/>
    <n v="35"/>
    <n v="14"/>
    <n v="0"/>
    <x v="191"/>
    <n v="28"/>
    <n v="42"/>
    <n v="0.6"/>
  </r>
  <r>
    <s v="NB10091"/>
    <x v="6"/>
    <s v="P04"/>
    <x v="6"/>
    <s v="Accessories"/>
    <x v="0"/>
    <s v="C032"/>
    <s v="Cedar Customer 32"/>
    <x v="1"/>
    <x v="2"/>
    <n v="2"/>
    <n v="36.75"/>
    <n v="14"/>
    <n v="0.05"/>
    <x v="192"/>
    <n v="28"/>
    <n v="41.825000000000003"/>
    <n v="0.59899749373433586"/>
  </r>
  <r>
    <s v="NB10262"/>
    <x v="147"/>
    <s v="P05"/>
    <x v="7"/>
    <s v="Accessories"/>
    <x v="1"/>
    <s v="C004"/>
    <s v="Park Customer 04"/>
    <x v="1"/>
    <x v="2"/>
    <n v="4"/>
    <n v="20"/>
    <n v="7"/>
    <n v="0.15"/>
    <x v="193"/>
    <n v="28"/>
    <n v="40"/>
    <n v="0.58823529411764708"/>
  </r>
  <r>
    <s v="NB10336"/>
    <x v="118"/>
    <s v="P05"/>
    <x v="7"/>
    <s v="Accessories"/>
    <x v="2"/>
    <s v="C015"/>
    <s v="Hill Customer 15"/>
    <x v="0"/>
    <x v="0"/>
    <n v="3"/>
    <n v="20"/>
    <n v="7"/>
    <n v="0"/>
    <x v="194"/>
    <n v="21"/>
    <n v="39"/>
    <n v="0.65"/>
  </r>
  <r>
    <s v="NB10145"/>
    <x v="64"/>
    <s v="P04"/>
    <x v="6"/>
    <s v="Accessories"/>
    <x v="1"/>
    <s v="C002"/>
    <s v="Cedar Customer 02"/>
    <x v="1"/>
    <x v="2"/>
    <n v="2"/>
    <n v="33.25"/>
    <n v="14"/>
    <n v="0.1"/>
    <x v="195"/>
    <n v="28"/>
    <n v="31.85"/>
    <n v="0.53216374269005851"/>
  </r>
  <r>
    <s v="NB10002"/>
    <x v="2"/>
    <s v="P06"/>
    <x v="5"/>
    <s v="Accessories"/>
    <x v="1"/>
    <s v="C028"/>
    <s v="Park Customer 28"/>
    <x v="1"/>
    <x v="1"/>
    <n v="1"/>
    <n v="57.75"/>
    <n v="22"/>
    <n v="0"/>
    <x v="196"/>
    <n v="22"/>
    <n v="35.75"/>
    <n v="0.61904761904761907"/>
  </r>
  <r>
    <s v="NB10335"/>
    <x v="153"/>
    <s v="P05"/>
    <x v="7"/>
    <s v="Accessories"/>
    <x v="1"/>
    <s v="C011"/>
    <s v="Maple Customer 11"/>
    <x v="1"/>
    <x v="0"/>
    <n v="3"/>
    <n v="20"/>
    <n v="7"/>
    <n v="0.05"/>
    <x v="197"/>
    <n v="21"/>
    <n v="36"/>
    <n v="0.63157894736842102"/>
  </r>
  <r>
    <s v="NB10059"/>
    <x v="154"/>
    <s v="P04"/>
    <x v="6"/>
    <s v="Accessories"/>
    <x v="0"/>
    <s v="C023"/>
    <s v="Maple Customer 23"/>
    <x v="1"/>
    <x v="2"/>
    <n v="2"/>
    <n v="33.25"/>
    <n v="14"/>
    <n v="0.15"/>
    <x v="198"/>
    <n v="28"/>
    <n v="28.524999999999999"/>
    <n v="0.50464396284829716"/>
  </r>
  <r>
    <s v="NB10258"/>
    <x v="128"/>
    <s v="P06"/>
    <x v="5"/>
    <s v="Accessories"/>
    <x v="2"/>
    <s v="C005"/>
    <s v="Maple Customer 05"/>
    <x v="1"/>
    <x v="1"/>
    <n v="1"/>
    <n v="55"/>
    <n v="22"/>
    <n v="0"/>
    <x v="199"/>
    <n v="22"/>
    <n v="33"/>
    <n v="0.6"/>
  </r>
  <r>
    <s v="NB10289"/>
    <x v="51"/>
    <s v="P06"/>
    <x v="5"/>
    <s v="Accessories"/>
    <x v="3"/>
    <s v="C027"/>
    <s v="Hill Customer 27"/>
    <x v="0"/>
    <x v="2"/>
    <n v="1"/>
    <n v="55"/>
    <n v="22"/>
    <n v="0"/>
    <x v="199"/>
    <n v="22"/>
    <n v="33"/>
    <n v="0.6"/>
  </r>
  <r>
    <s v="NB10307"/>
    <x v="10"/>
    <s v="P06"/>
    <x v="5"/>
    <s v="Accessories"/>
    <x v="1"/>
    <s v="C016"/>
    <s v="Park Customer 16"/>
    <x v="1"/>
    <x v="0"/>
    <n v="1"/>
    <n v="55"/>
    <n v="22"/>
    <n v="0"/>
    <x v="199"/>
    <n v="22"/>
    <n v="33"/>
    <n v="0.6"/>
  </r>
  <r>
    <s v="NB10239"/>
    <x v="15"/>
    <s v="P05"/>
    <x v="7"/>
    <s v="Accessories"/>
    <x v="3"/>
    <s v="C007"/>
    <s v="River Customer 07"/>
    <x v="1"/>
    <x v="3"/>
    <n v="3"/>
    <n v="19"/>
    <n v="7"/>
    <n v="0.05"/>
    <x v="200"/>
    <n v="21"/>
    <n v="33.15"/>
    <n v="0.61218836565096957"/>
  </r>
  <r>
    <s v="NB10294"/>
    <x v="83"/>
    <s v="P05"/>
    <x v="7"/>
    <s v="Accessories"/>
    <x v="3"/>
    <s v="C004"/>
    <s v="Park Customer 04"/>
    <x v="1"/>
    <x v="1"/>
    <n v="3"/>
    <n v="19"/>
    <n v="7"/>
    <n v="0.05"/>
    <x v="200"/>
    <n v="21"/>
    <n v="33.15"/>
    <n v="0.61218836565096957"/>
  </r>
  <r>
    <s v="NB10079"/>
    <x v="82"/>
    <s v="P06"/>
    <x v="5"/>
    <s v="Accessories"/>
    <x v="0"/>
    <s v="C030"/>
    <s v="Oak Customer 30"/>
    <x v="0"/>
    <x v="1"/>
    <n v="1"/>
    <n v="55"/>
    <n v="22"/>
    <n v="0.05"/>
    <x v="201"/>
    <n v="22"/>
    <n v="30.25"/>
    <n v="0.57894736842105265"/>
  </r>
  <r>
    <s v="NB10228"/>
    <x v="17"/>
    <s v="P06"/>
    <x v="5"/>
    <s v="Accessories"/>
    <x v="1"/>
    <s v="C017"/>
    <s v="Maple Customer 17"/>
    <x v="1"/>
    <x v="2"/>
    <n v="1"/>
    <n v="52.25"/>
    <n v="22"/>
    <n v="0.05"/>
    <x v="202"/>
    <n v="22"/>
    <n v="27.637499999999996"/>
    <n v="0.55678670360110805"/>
  </r>
  <r>
    <s v="NB10167"/>
    <x v="155"/>
    <s v="P06"/>
    <x v="5"/>
    <s v="Accessories"/>
    <x v="3"/>
    <s v="C004"/>
    <s v="Park Customer 04"/>
    <x v="1"/>
    <x v="2"/>
    <n v="1"/>
    <n v="55"/>
    <n v="22"/>
    <n v="0.1"/>
    <x v="203"/>
    <n v="22"/>
    <n v="27.5"/>
    <n v="0.55555555555555558"/>
  </r>
  <r>
    <s v="NB10341"/>
    <x v="26"/>
    <s v="P06"/>
    <x v="5"/>
    <s v="Accessories"/>
    <x v="3"/>
    <s v="C005"/>
    <s v="Maple Customer 05"/>
    <x v="1"/>
    <x v="1"/>
    <n v="1"/>
    <n v="55"/>
    <n v="22"/>
    <n v="0.1"/>
    <x v="203"/>
    <n v="22"/>
    <n v="27.5"/>
    <n v="0.55555555555555558"/>
  </r>
  <r>
    <s v="NB10062"/>
    <x v="85"/>
    <s v="P06"/>
    <x v="5"/>
    <s v="Accessories"/>
    <x v="3"/>
    <s v="C012"/>
    <s v="Oak Customer 12"/>
    <x v="0"/>
    <x v="3"/>
    <n v="1"/>
    <n v="57.75"/>
    <n v="22"/>
    <n v="0.15"/>
    <x v="204"/>
    <n v="22"/>
    <n v="27.087499999999999"/>
    <n v="0.55182072829131656"/>
  </r>
  <r>
    <s v="NB10237"/>
    <x v="54"/>
    <s v="P06"/>
    <x v="5"/>
    <s v="Accessories"/>
    <x v="0"/>
    <s v="C036"/>
    <s v="Oak Customer 36"/>
    <x v="0"/>
    <x v="1"/>
    <n v="1"/>
    <n v="52.25"/>
    <n v="22"/>
    <n v="0.1"/>
    <x v="205"/>
    <n v="22"/>
    <n v="25.024999999999999"/>
    <n v="0.53216374269005851"/>
  </r>
  <r>
    <s v="NB10021"/>
    <x v="31"/>
    <s v="P05"/>
    <x v="7"/>
    <s v="Accessories"/>
    <x v="2"/>
    <s v="C016"/>
    <s v="Park Customer 16"/>
    <x v="1"/>
    <x v="0"/>
    <n v="2"/>
    <n v="20"/>
    <n v="7"/>
    <n v="0.05"/>
    <x v="206"/>
    <n v="14"/>
    <n v="24"/>
    <n v="0.63157894736842102"/>
  </r>
  <r>
    <s v="NB10114"/>
    <x v="115"/>
    <s v="P05"/>
    <x v="7"/>
    <s v="Accessories"/>
    <x v="2"/>
    <s v="C025"/>
    <s v="River Customer 25"/>
    <x v="1"/>
    <x v="0"/>
    <n v="2"/>
    <n v="19"/>
    <n v="7"/>
    <n v="0"/>
    <x v="206"/>
    <n v="14"/>
    <n v="24"/>
    <n v="0.63157894736842102"/>
  </r>
  <r>
    <s v="NB10334"/>
    <x v="86"/>
    <s v="P05"/>
    <x v="7"/>
    <s v="Accessories"/>
    <x v="2"/>
    <s v="C029"/>
    <s v="Maple Customer 29"/>
    <x v="1"/>
    <x v="3"/>
    <n v="2"/>
    <n v="20"/>
    <n v="7"/>
    <n v="0.05"/>
    <x v="206"/>
    <n v="14"/>
    <n v="24"/>
    <n v="0.63157894736842102"/>
  </r>
  <r>
    <s v="NB10348"/>
    <x v="124"/>
    <s v="P05"/>
    <x v="7"/>
    <s v="Accessories"/>
    <x v="1"/>
    <s v="C036"/>
    <s v="Oak Customer 36"/>
    <x v="0"/>
    <x v="3"/>
    <n v="2"/>
    <n v="20"/>
    <n v="7"/>
    <n v="0.05"/>
    <x v="206"/>
    <n v="14"/>
    <n v="24"/>
    <n v="0.63157894736842102"/>
  </r>
  <r>
    <s v="NB10161"/>
    <x v="64"/>
    <s v="P04"/>
    <x v="6"/>
    <s v="Accessories"/>
    <x v="2"/>
    <s v="C025"/>
    <s v="River Customer 25"/>
    <x v="1"/>
    <x v="2"/>
    <n v="1"/>
    <n v="36.75"/>
    <n v="14"/>
    <n v="0"/>
    <x v="207"/>
    <n v="14"/>
    <n v="22.75"/>
    <n v="0.61904761904761907"/>
  </r>
  <r>
    <s v="NB10080"/>
    <x v="65"/>
    <s v="P05"/>
    <x v="7"/>
    <s v="Accessories"/>
    <x v="0"/>
    <s v="C035"/>
    <s v="Maple Customer 35"/>
    <x v="1"/>
    <x v="1"/>
    <n v="2"/>
    <n v="21"/>
    <n v="7"/>
    <n v="0.15"/>
    <x v="208"/>
    <n v="14"/>
    <n v="21.699999999999996"/>
    <n v="0.60784313725490191"/>
  </r>
  <r>
    <s v="NB10085"/>
    <x v="29"/>
    <s v="P05"/>
    <x v="7"/>
    <s v="Accessories"/>
    <x v="3"/>
    <s v="C022"/>
    <s v="Park Customer 22"/>
    <x v="1"/>
    <x v="0"/>
    <n v="2"/>
    <n v="21"/>
    <n v="7"/>
    <n v="0.15"/>
    <x v="208"/>
    <n v="14"/>
    <n v="21.699999999999996"/>
    <n v="0.60784313725490191"/>
  </r>
  <r>
    <s v="NB10092"/>
    <x v="156"/>
    <s v="P05"/>
    <x v="7"/>
    <s v="Accessories"/>
    <x v="2"/>
    <s v="C016"/>
    <s v="Park Customer 16"/>
    <x v="1"/>
    <x v="0"/>
    <n v="2"/>
    <n v="21"/>
    <n v="7"/>
    <n v="0.15"/>
    <x v="208"/>
    <n v="14"/>
    <n v="21.699999999999996"/>
    <n v="0.60784313725490191"/>
  </r>
  <r>
    <s v="NB10298"/>
    <x v="117"/>
    <s v="P04"/>
    <x v="6"/>
    <s v="Accessories"/>
    <x v="1"/>
    <s v="C035"/>
    <s v="Maple Customer 35"/>
    <x v="1"/>
    <x v="3"/>
    <n v="1"/>
    <n v="35"/>
    <n v="14"/>
    <n v="0"/>
    <x v="209"/>
    <n v="14"/>
    <n v="21"/>
    <n v="0.6"/>
  </r>
  <r>
    <s v="NB10073"/>
    <x v="128"/>
    <s v="P04"/>
    <x v="6"/>
    <s v="Accessories"/>
    <x v="3"/>
    <s v="C026"/>
    <s v="Cedar Customer 26"/>
    <x v="1"/>
    <x v="1"/>
    <n v="1"/>
    <n v="36.75"/>
    <n v="14"/>
    <n v="0.05"/>
    <x v="210"/>
    <n v="14"/>
    <n v="20.912500000000001"/>
    <n v="0.59899749373433586"/>
  </r>
  <r>
    <s v="NB10183"/>
    <x v="91"/>
    <s v="P05"/>
    <x v="7"/>
    <s v="Accessories"/>
    <x v="1"/>
    <s v="C037"/>
    <s v="River Customer 37"/>
    <x v="1"/>
    <x v="0"/>
    <n v="2"/>
    <n v="19"/>
    <n v="7"/>
    <n v="0.15"/>
    <x v="211"/>
    <n v="14"/>
    <n v="18.299999999999997"/>
    <n v="0.56656346749226005"/>
  </r>
  <r>
    <s v="NB10102"/>
    <x v="157"/>
    <s v="P04"/>
    <x v="6"/>
    <s v="Accessories"/>
    <x v="0"/>
    <s v="C017"/>
    <s v="Maple Customer 17"/>
    <x v="1"/>
    <x v="1"/>
    <n v="1"/>
    <n v="35"/>
    <n v="14"/>
    <n v="0.1"/>
    <x v="212"/>
    <n v="14"/>
    <n v="17.5"/>
    <n v="0.55555555555555558"/>
  </r>
  <r>
    <s v="NB10186"/>
    <x v="77"/>
    <s v="P04"/>
    <x v="6"/>
    <s v="Accessories"/>
    <x v="1"/>
    <s v="C038"/>
    <s v="Cedar Customer 38"/>
    <x v="1"/>
    <x v="1"/>
    <n v="1"/>
    <n v="35"/>
    <n v="14"/>
    <n v="0.1"/>
    <x v="212"/>
    <n v="14"/>
    <n v="17.5"/>
    <n v="0.55555555555555558"/>
  </r>
  <r>
    <s v="NB10072"/>
    <x v="125"/>
    <s v="P05"/>
    <x v="7"/>
    <s v="Accessories"/>
    <x v="2"/>
    <s v="C016"/>
    <s v="Park Customer 16"/>
    <x v="1"/>
    <x v="1"/>
    <n v="1"/>
    <n v="20"/>
    <n v="7"/>
    <n v="0"/>
    <x v="213"/>
    <n v="7"/>
    <n v="13"/>
    <n v="0.65"/>
  </r>
  <r>
    <s v="NB10105"/>
    <x v="134"/>
    <s v="P05"/>
    <x v="7"/>
    <s v="Accessories"/>
    <x v="0"/>
    <s v="C016"/>
    <s v="Park Customer 16"/>
    <x v="1"/>
    <x v="1"/>
    <n v="1"/>
    <n v="20"/>
    <n v="7"/>
    <n v="0"/>
    <x v="213"/>
    <n v="7"/>
    <n v="13"/>
    <n v="0.65"/>
  </r>
  <r>
    <s v="NB10134"/>
    <x v="75"/>
    <s v="P05"/>
    <x v="7"/>
    <s v="Accessories"/>
    <x v="3"/>
    <s v="C025"/>
    <s v="River Customer 25"/>
    <x v="1"/>
    <x v="0"/>
    <n v="1"/>
    <n v="20"/>
    <n v="7"/>
    <n v="0"/>
    <x v="213"/>
    <n v="7"/>
    <n v="13"/>
    <n v="0.65"/>
  </r>
  <r>
    <s v="NB10245"/>
    <x v="66"/>
    <s v="P05"/>
    <x v="7"/>
    <s v="Accessories"/>
    <x v="1"/>
    <s v="C009"/>
    <s v="Hill Customer 09"/>
    <x v="0"/>
    <x v="0"/>
    <n v="1"/>
    <n v="20"/>
    <n v="7"/>
    <n v="0"/>
    <x v="213"/>
    <n v="7"/>
    <n v="13"/>
    <n v="0.65"/>
  </r>
  <r>
    <s v="NB10297"/>
    <x v="42"/>
    <s v="P05"/>
    <x v="7"/>
    <s v="Accessories"/>
    <x v="2"/>
    <s v="C019"/>
    <s v="River Customer 19"/>
    <x v="1"/>
    <x v="0"/>
    <n v="1"/>
    <n v="20"/>
    <n v="7"/>
    <n v="0"/>
    <x v="213"/>
    <n v="7"/>
    <n v="13"/>
    <n v="0.65"/>
  </r>
  <r>
    <s v="NB10321"/>
    <x v="158"/>
    <s v="P05"/>
    <x v="7"/>
    <s v="Accessories"/>
    <x v="2"/>
    <s v="C022"/>
    <s v="Park Customer 22"/>
    <x v="1"/>
    <x v="0"/>
    <n v="1"/>
    <n v="21"/>
    <n v="7"/>
    <n v="0.05"/>
    <x v="214"/>
    <n v="7"/>
    <n v="12.95"/>
    <n v="0.64912280701754388"/>
  </r>
  <r>
    <s v="NB10181"/>
    <x v="45"/>
    <s v="P05"/>
    <x v="7"/>
    <s v="Accessories"/>
    <x v="1"/>
    <s v="C025"/>
    <s v="River Customer 25"/>
    <x v="1"/>
    <x v="1"/>
    <n v="1"/>
    <n v="20"/>
    <n v="7"/>
    <n v="0.05"/>
    <x v="215"/>
    <n v="7"/>
    <n v="12"/>
    <n v="0.63157894736842102"/>
  </r>
  <r>
    <s v="NB10324"/>
    <x v="36"/>
    <s v="P05"/>
    <x v="7"/>
    <s v="Accessories"/>
    <x v="0"/>
    <s v="C017"/>
    <s v="Maple Customer 17"/>
    <x v="1"/>
    <x v="0"/>
    <n v="1"/>
    <n v="19"/>
    <n v="7"/>
    <n v="0"/>
    <x v="215"/>
    <n v="7"/>
    <n v="12"/>
    <n v="0.63157894736842102"/>
  </r>
  <r>
    <s v="NB10358"/>
    <x v="77"/>
    <s v="P05"/>
    <x v="7"/>
    <s v="Accessories"/>
    <x v="1"/>
    <s v="C004"/>
    <s v="Park Customer 04"/>
    <x v="1"/>
    <x v="0"/>
    <n v="1"/>
    <n v="19"/>
    <n v="7"/>
    <n v="0"/>
    <x v="215"/>
    <n v="7"/>
    <n v="12"/>
    <n v="0.63157894736842102"/>
  </r>
  <r>
    <s v="NB10224"/>
    <x v="107"/>
    <s v="P05"/>
    <x v="7"/>
    <s v="Accessories"/>
    <x v="1"/>
    <s v="C034"/>
    <s v="Park Customer 34"/>
    <x v="1"/>
    <x v="2"/>
    <n v="1"/>
    <n v="20"/>
    <n v="7"/>
    <n v="0.1"/>
    <x v="216"/>
    <n v="7"/>
    <n v="11"/>
    <n v="0.61111111111111116"/>
  </r>
  <r>
    <s v="NB10023"/>
    <x v="101"/>
    <s v="P05"/>
    <x v="7"/>
    <s v="Accessories"/>
    <x v="0"/>
    <s v="C007"/>
    <s v="River Customer 07"/>
    <x v="1"/>
    <x v="0"/>
    <n v="1"/>
    <n v="20"/>
    <n v="7"/>
    <n v="0.15"/>
    <x v="217"/>
    <n v="7"/>
    <n v="10"/>
    <n v="0.58823529411764708"/>
  </r>
  <r>
    <s v="NB10024"/>
    <x v="132"/>
    <s v="P05"/>
    <x v="7"/>
    <s v="Accessories"/>
    <x v="1"/>
    <s v="C008"/>
    <s v="Cedar Customer 08"/>
    <x v="1"/>
    <x v="2"/>
    <n v="1"/>
    <n v="20"/>
    <n v="7"/>
    <n v="0.15"/>
    <x v="217"/>
    <n v="7"/>
    <n v="10"/>
    <n v="0.58823529411764708"/>
  </r>
  <r>
    <s v="NB10047"/>
    <x v="116"/>
    <s v="P05"/>
    <x v="7"/>
    <s v="Accessories"/>
    <x v="2"/>
    <s v="C040"/>
    <s v="Park Customer 40"/>
    <x v="1"/>
    <x v="1"/>
    <n v="1"/>
    <n v="20"/>
    <n v="7"/>
    <n v="0.15"/>
    <x v="217"/>
    <n v="7"/>
    <n v="10"/>
    <n v="0.588235294117647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0B580-5C53-B54D-B80D-41AB96C7035A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0" firstHeaderRow="0" firstDataRow="1" firstDataCol="1"/>
  <pivotFields count="20">
    <pivotField showAll="0"/>
    <pivotField axis="axisRow" numFmtId="14" showAll="0">
      <items count="160">
        <item x="0"/>
        <item x="91"/>
        <item x="142"/>
        <item x="44"/>
        <item x="126"/>
        <item x="89"/>
        <item x="111"/>
        <item x="87"/>
        <item x="125"/>
        <item x="74"/>
        <item x="65"/>
        <item x="132"/>
        <item x="26"/>
        <item x="95"/>
        <item x="42"/>
        <item x="30"/>
        <item x="31"/>
        <item x="154"/>
        <item x="157"/>
        <item x="71"/>
        <item x="93"/>
        <item x="115"/>
        <item x="141"/>
        <item x="145"/>
        <item x="129"/>
        <item x="32"/>
        <item x="101"/>
        <item x="133"/>
        <item x="156"/>
        <item x="113"/>
        <item x="134"/>
        <item x="70"/>
        <item x="61"/>
        <item x="121"/>
        <item x="139"/>
        <item x="72"/>
        <item x="52"/>
        <item x="124"/>
        <item x="90"/>
        <item x="122"/>
        <item x="73"/>
        <item x="138"/>
        <item x="119"/>
        <item x="76"/>
        <item x="146"/>
        <item x="64"/>
        <item x="38"/>
        <item x="15"/>
        <item x="34"/>
        <item x="49"/>
        <item x="130"/>
        <item x="75"/>
        <item x="57"/>
        <item x="48"/>
        <item x="1"/>
        <item x="137"/>
        <item x="21"/>
        <item x="128"/>
        <item x="50"/>
        <item x="106"/>
        <item x="117"/>
        <item x="127"/>
        <item x="16"/>
        <item x="54"/>
        <item x="68"/>
        <item x="40"/>
        <item x="35"/>
        <item x="8"/>
        <item x="79"/>
        <item x="158"/>
        <item x="41"/>
        <item x="29"/>
        <item x="105"/>
        <item x="103"/>
        <item x="136"/>
        <item x="120"/>
        <item x="114"/>
        <item x="20"/>
        <item x="67"/>
        <item x="100"/>
        <item x="5"/>
        <item x="97"/>
        <item x="59"/>
        <item x="7"/>
        <item x="112"/>
        <item x="104"/>
        <item x="86"/>
        <item x="13"/>
        <item x="94"/>
        <item x="19"/>
        <item x="107"/>
        <item x="109"/>
        <item x="123"/>
        <item x="23"/>
        <item x="110"/>
        <item x="3"/>
        <item x="116"/>
        <item x="22"/>
        <item x="98"/>
        <item x="6"/>
        <item x="46"/>
        <item x="28"/>
        <item x="108"/>
        <item x="83"/>
        <item x="147"/>
        <item x="78"/>
        <item x="155"/>
        <item x="88"/>
        <item x="39"/>
        <item x="33"/>
        <item x="27"/>
        <item x="9"/>
        <item x="63"/>
        <item x="148"/>
        <item x="69"/>
        <item x="143"/>
        <item x="51"/>
        <item x="85"/>
        <item x="18"/>
        <item x="131"/>
        <item x="92"/>
        <item x="118"/>
        <item x="24"/>
        <item x="84"/>
        <item x="80"/>
        <item x="37"/>
        <item x="135"/>
        <item x="150"/>
        <item x="149"/>
        <item x="56"/>
        <item x="58"/>
        <item x="151"/>
        <item x="99"/>
        <item x="102"/>
        <item x="36"/>
        <item x="53"/>
        <item x="43"/>
        <item x="25"/>
        <item x="152"/>
        <item x="4"/>
        <item x="82"/>
        <item x="17"/>
        <item x="14"/>
        <item x="10"/>
        <item x="55"/>
        <item x="45"/>
        <item x="62"/>
        <item x="60"/>
        <item x="153"/>
        <item x="77"/>
        <item x="96"/>
        <item x="2"/>
        <item x="140"/>
        <item x="11"/>
        <item x="81"/>
        <item x="12"/>
        <item x="144"/>
        <item x="47"/>
        <item x="66"/>
        <item t="default"/>
      </items>
    </pivotField>
    <pivotField showAll="0"/>
    <pivotField axis="axisRow" showAll="0">
      <items count="9">
        <item x="3"/>
        <item x="5"/>
        <item x="6"/>
        <item x="0"/>
        <item x="2"/>
        <item x="7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64" showAll="0"/>
    <pivotField numFmtId="9" showAll="0"/>
    <pivotField dataField="1" numFmtId="165" showAll="0"/>
    <pivotField numFmtId="165" showAll="0"/>
    <pivotField dataField="1" numFmtId="165" showAll="0"/>
    <pivotField numFmtId="10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4">
    <field x="19"/>
    <field x="18"/>
    <field x="1"/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4" baseField="0" baseItem="0" numFmtId="165"/>
    <dataField name="Sum of Gross Profit" fld="16" baseField="0" baseItem="0" numFmtId="165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A4D26-3A71-9943-A3FE-9110E01A2672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20">
    <pivotField dataField="1" showAll="0"/>
    <pivotField numFmtId="14" showAll="0">
      <items count="160">
        <item x="0"/>
        <item x="91"/>
        <item x="142"/>
        <item x="44"/>
        <item x="126"/>
        <item x="89"/>
        <item x="111"/>
        <item x="87"/>
        <item x="125"/>
        <item x="74"/>
        <item x="65"/>
        <item x="132"/>
        <item x="26"/>
        <item x="95"/>
        <item x="42"/>
        <item x="30"/>
        <item x="31"/>
        <item x="154"/>
        <item x="157"/>
        <item x="71"/>
        <item x="93"/>
        <item x="115"/>
        <item x="141"/>
        <item x="145"/>
        <item x="129"/>
        <item x="32"/>
        <item x="101"/>
        <item x="133"/>
        <item x="156"/>
        <item x="113"/>
        <item x="134"/>
        <item x="70"/>
        <item x="61"/>
        <item x="121"/>
        <item x="139"/>
        <item x="72"/>
        <item x="52"/>
        <item x="124"/>
        <item x="90"/>
        <item x="122"/>
        <item x="73"/>
        <item x="138"/>
        <item x="119"/>
        <item x="76"/>
        <item x="146"/>
        <item x="64"/>
        <item x="38"/>
        <item x="15"/>
        <item x="34"/>
        <item x="49"/>
        <item x="130"/>
        <item x="75"/>
        <item x="57"/>
        <item x="48"/>
        <item x="1"/>
        <item x="137"/>
        <item x="21"/>
        <item x="128"/>
        <item x="50"/>
        <item x="106"/>
        <item x="117"/>
        <item x="127"/>
        <item x="16"/>
        <item x="54"/>
        <item x="68"/>
        <item x="40"/>
        <item x="35"/>
        <item x="8"/>
        <item x="79"/>
        <item x="158"/>
        <item x="41"/>
        <item x="29"/>
        <item x="105"/>
        <item x="103"/>
        <item x="136"/>
        <item x="120"/>
        <item x="114"/>
        <item x="20"/>
        <item x="67"/>
        <item x="100"/>
        <item x="5"/>
        <item x="97"/>
        <item x="59"/>
        <item x="7"/>
        <item x="112"/>
        <item x="104"/>
        <item x="86"/>
        <item x="13"/>
        <item x="94"/>
        <item x="19"/>
        <item x="107"/>
        <item x="109"/>
        <item x="123"/>
        <item x="23"/>
        <item x="110"/>
        <item x="3"/>
        <item x="116"/>
        <item x="22"/>
        <item x="98"/>
        <item x="6"/>
        <item x="46"/>
        <item x="28"/>
        <item x="108"/>
        <item x="83"/>
        <item x="147"/>
        <item x="78"/>
        <item x="155"/>
        <item x="88"/>
        <item x="39"/>
        <item x="33"/>
        <item x="27"/>
        <item x="9"/>
        <item x="63"/>
        <item x="148"/>
        <item x="69"/>
        <item x="143"/>
        <item x="51"/>
        <item x="85"/>
        <item x="18"/>
        <item x="131"/>
        <item x="92"/>
        <item x="118"/>
        <item x="24"/>
        <item x="84"/>
        <item x="80"/>
        <item x="37"/>
        <item x="135"/>
        <item x="150"/>
        <item x="149"/>
        <item x="56"/>
        <item x="58"/>
        <item x="151"/>
        <item x="99"/>
        <item x="102"/>
        <item x="36"/>
        <item x="53"/>
        <item x="43"/>
        <item x="25"/>
        <item x="152"/>
        <item x="4"/>
        <item x="82"/>
        <item x="17"/>
        <item x="14"/>
        <item x="10"/>
        <item x="55"/>
        <item x="45"/>
        <item x="62"/>
        <item x="60"/>
        <item x="153"/>
        <item x="77"/>
        <item x="96"/>
        <item x="2"/>
        <item x="140"/>
        <item x="11"/>
        <item x="81"/>
        <item x="12"/>
        <item x="144"/>
        <item x="47"/>
        <item x="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3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numFmtId="164" showAll="0"/>
    <pivotField numFmtId="9" showAll="0"/>
    <pivotField dataField="1" numFmtId="165" showAll="0"/>
    <pivotField numFmtId="165" showAll="0"/>
    <pivotField dataField="1" numFmtId="165" showAll="0"/>
    <pivotField numFmtId="10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6">
    <i>
      <x/>
    </i>
    <i>
      <x v="2"/>
    </i>
    <i>
      <x v="3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4" baseField="0" baseItem="0" numFmtId="165"/>
    <dataField name="Sum of Gross Profit" fld="16" baseField="0" baseItem="0" numFmtId="165"/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DDB3A-1E59-3D42-9D24-DB1AC5FF016A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6" firstHeaderRow="0" firstDataRow="1" firstDataCol="1"/>
  <pivotFields count="20">
    <pivotField showAll="0"/>
    <pivotField numFmtId="14" showAll="0">
      <items count="160">
        <item x="0"/>
        <item x="91"/>
        <item x="142"/>
        <item x="44"/>
        <item x="126"/>
        <item x="89"/>
        <item x="111"/>
        <item x="87"/>
        <item x="125"/>
        <item x="74"/>
        <item x="65"/>
        <item x="132"/>
        <item x="26"/>
        <item x="95"/>
        <item x="42"/>
        <item x="30"/>
        <item x="31"/>
        <item x="154"/>
        <item x="157"/>
        <item x="71"/>
        <item x="93"/>
        <item x="115"/>
        <item x="141"/>
        <item x="145"/>
        <item x="129"/>
        <item x="32"/>
        <item x="101"/>
        <item x="133"/>
        <item x="156"/>
        <item x="113"/>
        <item x="134"/>
        <item x="70"/>
        <item x="61"/>
        <item x="121"/>
        <item x="139"/>
        <item x="72"/>
        <item x="52"/>
        <item x="124"/>
        <item x="90"/>
        <item x="122"/>
        <item x="73"/>
        <item x="138"/>
        <item x="119"/>
        <item x="76"/>
        <item x="146"/>
        <item x="64"/>
        <item x="38"/>
        <item x="15"/>
        <item x="34"/>
        <item x="49"/>
        <item x="130"/>
        <item x="75"/>
        <item x="57"/>
        <item x="48"/>
        <item x="1"/>
        <item x="137"/>
        <item x="21"/>
        <item x="128"/>
        <item x="50"/>
        <item x="106"/>
        <item x="117"/>
        <item x="127"/>
        <item x="16"/>
        <item x="54"/>
        <item x="68"/>
        <item x="40"/>
        <item x="35"/>
        <item x="8"/>
        <item x="79"/>
        <item x="158"/>
        <item x="41"/>
        <item x="29"/>
        <item x="105"/>
        <item x="103"/>
        <item x="136"/>
        <item x="120"/>
        <item x="114"/>
        <item x="20"/>
        <item x="67"/>
        <item x="100"/>
        <item x="5"/>
        <item x="97"/>
        <item x="59"/>
        <item x="7"/>
        <item x="112"/>
        <item x="104"/>
        <item x="86"/>
        <item x="13"/>
        <item x="94"/>
        <item x="19"/>
        <item x="107"/>
        <item x="109"/>
        <item x="123"/>
        <item x="23"/>
        <item x="110"/>
        <item x="3"/>
        <item x="116"/>
        <item x="22"/>
        <item x="98"/>
        <item x="6"/>
        <item x="46"/>
        <item x="28"/>
        <item x="108"/>
        <item x="83"/>
        <item x="147"/>
        <item x="78"/>
        <item x="155"/>
        <item x="88"/>
        <item x="39"/>
        <item x="33"/>
        <item x="27"/>
        <item x="9"/>
        <item x="63"/>
        <item x="148"/>
        <item x="69"/>
        <item x="143"/>
        <item x="51"/>
        <item x="85"/>
        <item x="18"/>
        <item x="131"/>
        <item x="92"/>
        <item x="118"/>
        <item x="24"/>
        <item x="84"/>
        <item x="80"/>
        <item x="37"/>
        <item x="135"/>
        <item x="150"/>
        <item x="149"/>
        <item x="56"/>
        <item x="58"/>
        <item x="151"/>
        <item x="99"/>
        <item x="102"/>
        <item x="36"/>
        <item x="53"/>
        <item x="43"/>
        <item x="25"/>
        <item x="152"/>
        <item x="4"/>
        <item x="82"/>
        <item x="17"/>
        <item x="14"/>
        <item x="10"/>
        <item x="55"/>
        <item x="45"/>
        <item x="62"/>
        <item x="60"/>
        <item x="153"/>
        <item x="77"/>
        <item x="96"/>
        <item x="2"/>
        <item x="140"/>
        <item x="11"/>
        <item x="81"/>
        <item x="12"/>
        <item x="144"/>
        <item x="47"/>
        <item x="6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" showAll="0"/>
    <pivotField showAll="0"/>
    <pivotField numFmtId="164" showAll="0"/>
    <pivotField numFmtId="9" showAll="0"/>
    <pivotField dataField="1" numFmtId="165" showAll="0"/>
    <pivotField numFmtId="165" showAll="0"/>
    <pivotField dataField="1" numFmtId="165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4" baseField="0" baseItem="0" numFmtId="165"/>
    <dataField name="Sum of Gross Profit" fld="16" baseField="0" baseItem="0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8F3F2-6876-F343-8FD3-0749BA404BB6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2" firstHeaderRow="0" firstDataRow="1" firstDataCol="1"/>
  <pivotFields count="20">
    <pivotField showAll="0"/>
    <pivotField numFmtId="14" showAll="0">
      <items count="160">
        <item x="0"/>
        <item x="91"/>
        <item x="142"/>
        <item x="44"/>
        <item x="126"/>
        <item x="89"/>
        <item x="111"/>
        <item x="87"/>
        <item x="125"/>
        <item x="74"/>
        <item x="65"/>
        <item x="132"/>
        <item x="26"/>
        <item x="95"/>
        <item x="42"/>
        <item x="30"/>
        <item x="31"/>
        <item x="154"/>
        <item x="157"/>
        <item x="71"/>
        <item x="93"/>
        <item x="115"/>
        <item x="141"/>
        <item x="145"/>
        <item x="129"/>
        <item x="32"/>
        <item x="101"/>
        <item x="133"/>
        <item x="156"/>
        <item x="113"/>
        <item x="134"/>
        <item x="70"/>
        <item x="61"/>
        <item x="121"/>
        <item x="139"/>
        <item x="72"/>
        <item x="52"/>
        <item x="124"/>
        <item x="90"/>
        <item x="122"/>
        <item x="73"/>
        <item x="138"/>
        <item x="119"/>
        <item x="76"/>
        <item x="146"/>
        <item x="64"/>
        <item x="38"/>
        <item x="15"/>
        <item x="34"/>
        <item x="49"/>
        <item x="130"/>
        <item x="75"/>
        <item x="57"/>
        <item x="48"/>
        <item x="1"/>
        <item x="137"/>
        <item x="21"/>
        <item x="128"/>
        <item x="50"/>
        <item x="106"/>
        <item x="117"/>
        <item x="127"/>
        <item x="16"/>
        <item x="54"/>
        <item x="68"/>
        <item x="40"/>
        <item x="35"/>
        <item x="8"/>
        <item x="79"/>
        <item x="158"/>
        <item x="41"/>
        <item x="29"/>
        <item x="105"/>
        <item x="103"/>
        <item x="136"/>
        <item x="120"/>
        <item x="114"/>
        <item x="20"/>
        <item x="67"/>
        <item x="100"/>
        <item x="5"/>
        <item x="97"/>
        <item x="59"/>
        <item x="7"/>
        <item x="112"/>
        <item x="104"/>
        <item x="86"/>
        <item x="13"/>
        <item x="94"/>
        <item x="19"/>
        <item x="107"/>
        <item x="109"/>
        <item x="123"/>
        <item x="23"/>
        <item x="110"/>
        <item x="3"/>
        <item x="116"/>
        <item x="22"/>
        <item x="98"/>
        <item x="6"/>
        <item x="46"/>
        <item x="28"/>
        <item x="108"/>
        <item x="83"/>
        <item x="147"/>
        <item x="78"/>
        <item x="155"/>
        <item x="88"/>
        <item x="39"/>
        <item x="33"/>
        <item x="27"/>
        <item x="9"/>
        <item x="63"/>
        <item x="148"/>
        <item x="69"/>
        <item x="143"/>
        <item x="51"/>
        <item x="85"/>
        <item x="18"/>
        <item x="131"/>
        <item x="92"/>
        <item x="118"/>
        <item x="24"/>
        <item x="84"/>
        <item x="80"/>
        <item x="37"/>
        <item x="135"/>
        <item x="150"/>
        <item x="149"/>
        <item x="56"/>
        <item x="58"/>
        <item x="151"/>
        <item x="99"/>
        <item x="102"/>
        <item x="36"/>
        <item x="53"/>
        <item x="43"/>
        <item x="25"/>
        <item x="152"/>
        <item x="4"/>
        <item x="82"/>
        <item x="17"/>
        <item x="14"/>
        <item x="10"/>
        <item x="55"/>
        <item x="45"/>
        <item x="62"/>
        <item x="60"/>
        <item x="153"/>
        <item x="77"/>
        <item x="96"/>
        <item x="2"/>
        <item x="140"/>
        <item x="11"/>
        <item x="81"/>
        <item x="12"/>
        <item x="144"/>
        <item x="47"/>
        <item x="66"/>
        <item t="default"/>
      </items>
    </pivotField>
    <pivotField showAll="0"/>
    <pivotField axis="axisRow" showAll="0" sortType="descending">
      <items count="9">
        <item x="3"/>
        <item x="5"/>
        <item x="6"/>
        <item x="0"/>
        <item x="2"/>
        <item x="7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64" showAll="0"/>
    <pivotField numFmtId="9" showAll="0"/>
    <pivotField dataField="1" numFmtId="165" showAll="0"/>
    <pivotField numFmtId="165" showAll="0"/>
    <pivotField dataField="1" numFmtId="165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 v="3"/>
    </i>
    <i>
      <x v="7"/>
    </i>
    <i>
      <x/>
    </i>
    <i>
      <x v="4"/>
    </i>
    <i>
      <x v="6"/>
    </i>
    <i>
      <x v="1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4" baseField="0" baseItem="0" numFmtId="165"/>
    <dataField name="Sum of Gross Profit" fld="16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83E42-2A15-2043-AA4F-433F85F6DB7F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8" firstHeaderRow="0" firstDataRow="1" firstDataCol="1"/>
  <pivotFields count="20">
    <pivotField showAll="0"/>
    <pivotField numFmtId="14" showAll="0">
      <items count="160">
        <item x="0"/>
        <item x="91"/>
        <item x="142"/>
        <item x="44"/>
        <item x="126"/>
        <item x="89"/>
        <item x="111"/>
        <item x="87"/>
        <item x="125"/>
        <item x="74"/>
        <item x="65"/>
        <item x="132"/>
        <item x="26"/>
        <item x="95"/>
        <item x="42"/>
        <item x="30"/>
        <item x="31"/>
        <item x="154"/>
        <item x="157"/>
        <item x="71"/>
        <item x="93"/>
        <item x="115"/>
        <item x="141"/>
        <item x="145"/>
        <item x="129"/>
        <item x="32"/>
        <item x="101"/>
        <item x="133"/>
        <item x="156"/>
        <item x="113"/>
        <item x="134"/>
        <item x="70"/>
        <item x="61"/>
        <item x="121"/>
        <item x="139"/>
        <item x="72"/>
        <item x="52"/>
        <item x="124"/>
        <item x="90"/>
        <item x="122"/>
        <item x="73"/>
        <item x="138"/>
        <item x="119"/>
        <item x="76"/>
        <item x="146"/>
        <item x="64"/>
        <item x="38"/>
        <item x="15"/>
        <item x="34"/>
        <item x="49"/>
        <item x="130"/>
        <item x="75"/>
        <item x="57"/>
        <item x="48"/>
        <item x="1"/>
        <item x="137"/>
        <item x="21"/>
        <item x="128"/>
        <item x="50"/>
        <item x="106"/>
        <item x="117"/>
        <item x="127"/>
        <item x="16"/>
        <item x="54"/>
        <item x="68"/>
        <item x="40"/>
        <item x="35"/>
        <item x="8"/>
        <item x="79"/>
        <item x="158"/>
        <item x="41"/>
        <item x="29"/>
        <item x="105"/>
        <item x="103"/>
        <item x="136"/>
        <item x="120"/>
        <item x="114"/>
        <item x="20"/>
        <item x="67"/>
        <item x="100"/>
        <item x="5"/>
        <item x="97"/>
        <item x="59"/>
        <item x="7"/>
        <item x="112"/>
        <item x="104"/>
        <item x="86"/>
        <item x="13"/>
        <item x="94"/>
        <item x="19"/>
        <item x="107"/>
        <item x="109"/>
        <item x="123"/>
        <item x="23"/>
        <item x="110"/>
        <item x="3"/>
        <item x="116"/>
        <item x="22"/>
        <item x="98"/>
        <item x="6"/>
        <item x="46"/>
        <item x="28"/>
        <item x="108"/>
        <item x="83"/>
        <item x="147"/>
        <item x="78"/>
        <item x="155"/>
        <item x="88"/>
        <item x="39"/>
        <item x="33"/>
        <item x="27"/>
        <item x="9"/>
        <item x="63"/>
        <item x="148"/>
        <item x="69"/>
        <item x="143"/>
        <item x="51"/>
        <item x="85"/>
        <item x="18"/>
        <item x="131"/>
        <item x="92"/>
        <item x="118"/>
        <item x="24"/>
        <item x="84"/>
        <item x="80"/>
        <item x="37"/>
        <item x="135"/>
        <item x="150"/>
        <item x="149"/>
        <item x="56"/>
        <item x="58"/>
        <item x="151"/>
        <item x="99"/>
        <item x="102"/>
        <item x="36"/>
        <item x="53"/>
        <item x="43"/>
        <item x="25"/>
        <item x="152"/>
        <item x="4"/>
        <item x="82"/>
        <item x="17"/>
        <item x="14"/>
        <item x="10"/>
        <item x="55"/>
        <item x="45"/>
        <item x="62"/>
        <item x="60"/>
        <item x="153"/>
        <item x="77"/>
        <item x="96"/>
        <item x="2"/>
        <item x="140"/>
        <item x="11"/>
        <item x="81"/>
        <item x="12"/>
        <item x="144"/>
        <item x="47"/>
        <item x="66"/>
        <item t="default"/>
      </items>
    </pivotField>
    <pivotField showAll="0"/>
    <pivotField showAll="0" sortType="descending">
      <items count="9">
        <item x="1"/>
        <item x="4"/>
        <item x="7"/>
        <item x="2"/>
        <item x="0"/>
        <item x="6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" showAll="0"/>
    <pivotField showAll="0"/>
    <pivotField numFmtId="164" showAll="0"/>
    <pivotField numFmtId="9" showAll="0"/>
    <pivotField dataField="1" numFmtId="165" showAll="0">
      <items count="219"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dataField="1" numFmtId="165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 v="2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4" baseField="0" baseItem="0" numFmtId="165"/>
    <dataField name="Sum of Gross Profit" fld="16" baseField="0" baseItem="0" numFmtId="165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172883-A5E7-3644-B921-12AC1885ABED}" name="Sales" displayName="Sales" ref="A1:R359" totalsRowShown="0" headerRowDxfId="25">
  <autoFilter ref="A1:R359" xr:uid="{00000000-0009-0000-0000-000003000000}"/>
  <sortState xmlns:xlrd2="http://schemas.microsoft.com/office/spreadsheetml/2017/richdata2" ref="A2:R359">
    <sortCondition descending="1" ref="O1:O359"/>
  </sortState>
  <tableColumns count="18">
    <tableColumn id="1" xr3:uid="{EAFF8343-7ADA-6341-8683-ADE9109F5B9F}" name="Order ID"/>
    <tableColumn id="2" xr3:uid="{4E42EBC7-8325-6947-AE3B-A41AA88A414A}" name="Order Date" dataDxfId="24"/>
    <tableColumn id="3" xr3:uid="{E3534370-4402-134E-ABE5-8F46A562061F}" name="Product ID"/>
    <tableColumn id="4" xr3:uid="{5F68C27D-BF7F-6646-9004-B5988DF5DF4C}" name="Product"/>
    <tableColumn id="5" xr3:uid="{94320E22-1580-6C4E-BB84-58CEE451AD75}" name="Category"/>
    <tableColumn id="6" xr3:uid="{8AFFF59D-9150-9D4C-9C21-060624DA1126}" name="Region"/>
    <tableColumn id="7" xr3:uid="{B9A29BC8-6F03-5048-A07D-07E45617F456}" name="Customer ID"/>
    <tableColumn id="8" xr3:uid="{756BAC64-78B4-484B-9C3D-3571509FC42E}" name="Customer Name"/>
    <tableColumn id="9" xr3:uid="{1A707494-E0AD-0143-A39F-3C2DA10AC8D0}" name="Customer Type"/>
    <tableColumn id="10" xr3:uid="{07B1F2BF-0146-A042-8010-C2050F2087B4}" name="Salesperson"/>
    <tableColumn id="11" xr3:uid="{9E312E08-ADA4-CC4D-AE49-1EC0B4DAD667}" name="Quantity" dataDxfId="23"/>
    <tableColumn id="12" xr3:uid="{E76D7840-7A6D-014C-976E-7346EC8465BA}" name="Unit Price" dataDxfId="22"/>
    <tableColumn id="13" xr3:uid="{05628C7F-9CA7-5049-8D18-39AEA221D4AD}" name="Unit Cost" dataDxfId="21"/>
    <tableColumn id="14" xr3:uid="{2623D1EE-232D-D143-814C-0F58F4C79C38}" name="Discount Rate" dataDxfId="20"/>
    <tableColumn id="15" xr3:uid="{4928EEBA-3CDE-BE4D-96DC-0248D4A42FB6}" name="Revenue" dataDxfId="19">
      <calculatedColumnFormula>Sales[[#This Row],[Quantity]]*Sales[[#This Row],[Unit Price]]*(1-Sales[[#This Row],[Discount Rate]])</calculatedColumnFormula>
    </tableColumn>
    <tableColumn id="16" xr3:uid="{902780D5-E348-9D4E-A916-957080EA13D0}" name="Product cost" dataDxfId="18">
      <calculatedColumnFormula>Sales[[#This Row],[Unit Cost]]*Sales[[#This Row],[Quantity]]</calculatedColumnFormula>
    </tableColumn>
    <tableColumn id="17" xr3:uid="{3CA23D32-0D12-F246-93BB-EE662EB19CF2}" name="Gross Profit" dataDxfId="17">
      <calculatedColumnFormula>Sales[[#This Row],[Revenue]]-Sales[[#This Row],[Product cost]]</calculatedColumnFormula>
    </tableColumn>
    <tableColumn id="18" xr3:uid="{ABCDFE77-991D-2F41-98AC-0A9ED200D471}" name="Gross Margin" dataDxfId="16">
      <calculatedColumnFormula>Sales[[#This Row],[Gross Profit]]/Sales[[#This Row],[Revenue]]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A8CD2-163E-A246-BE15-E9ECBED32717}" name="Table1" displayName="Table1" ref="A1:N366" totalsRowShown="0" headerRowDxfId="15" dataDxfId="14">
  <autoFilter ref="A1:N366" xr:uid="{DF0A8CD2-163E-A246-BE15-E9ECBED32717}"/>
  <tableColumns count="14">
    <tableColumn id="1" xr3:uid="{89EC7F5C-2EFC-B14C-8575-C6EE1FFEE363}" name="Order ID" dataDxfId="13"/>
    <tableColumn id="2" xr3:uid="{B9292B7B-B13E-F649-BC9A-89630546A791}" name="Order Date" dataDxfId="12"/>
    <tableColumn id="3" xr3:uid="{1CD1A3F8-6A8A-4C47-893C-8033F386917C}" name="Product ID" dataDxfId="11"/>
    <tableColumn id="4" xr3:uid="{95BCC15A-EB12-8D47-BB9D-403066F85E03}" name="Product" dataDxfId="10"/>
    <tableColumn id="5" xr3:uid="{06EC822E-3EEA-6448-AE07-665C2C3C31F0}" name="Category" dataDxfId="9"/>
    <tableColumn id="6" xr3:uid="{B5B06857-B5E0-3F43-B2C4-66946D164782}" name="Region" dataDxfId="8"/>
    <tableColumn id="7" xr3:uid="{AB043911-89AD-9446-AFC3-26312E657903}" name="Customer ID" dataDxfId="7"/>
    <tableColumn id="8" xr3:uid="{597CA62F-E8FE-604B-802A-881A52D3496D}" name="Customer Name" dataDxfId="6"/>
    <tableColumn id="9" xr3:uid="{10C72CA3-5FFE-234D-9727-3CCB8D2095A1}" name="Customer Type" dataDxfId="5"/>
    <tableColumn id="10" xr3:uid="{7B7FDEBE-F8B8-5048-99F0-D51AD8B307F8}" name="Salesperson" dataDxfId="4"/>
    <tableColumn id="11" xr3:uid="{E7727891-C62D-7C4D-B14A-D51178F37A54}" name="Quantity" dataDxfId="3"/>
    <tableColumn id="12" xr3:uid="{B95785F0-8CEA-284B-B569-D1C7296341E4}" name="Unit Price" dataDxfId="2"/>
    <tableColumn id="13" xr3:uid="{4EAD090F-7D5F-D241-9A05-B77F86869AD5}" name="Unit Cost" dataDxfId="1"/>
    <tableColumn id="14" xr3:uid="{30F306F4-A206-D545-9B83-2AFA786EB21D}" name="Discount R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5" customWidth="1"/>
    <col min="2" max="2" width="110" customWidth="1"/>
  </cols>
  <sheetData>
    <row r="1" spans="1:2" ht="32.1" customHeight="1">
      <c r="A1" s="1" t="s">
        <v>0</v>
      </c>
      <c r="B1" s="1" t="s">
        <v>1</v>
      </c>
    </row>
    <row r="2" spans="1:2" ht="45" customHeight="1">
      <c r="A2" s="2" t="s">
        <v>2</v>
      </c>
      <c r="B2" s="3" t="s">
        <v>3</v>
      </c>
    </row>
    <row r="3" spans="1:2" ht="45" customHeight="1">
      <c r="A3" s="2" t="s">
        <v>4</v>
      </c>
      <c r="B3" s="3" t="s">
        <v>5</v>
      </c>
    </row>
    <row r="4" spans="1:2" ht="45" customHeight="1">
      <c r="A4" s="2" t="s">
        <v>6</v>
      </c>
      <c r="B4" s="3" t="s">
        <v>7</v>
      </c>
    </row>
    <row r="5" spans="1:2" ht="45" customHeight="1">
      <c r="A5" s="2" t="s">
        <v>8</v>
      </c>
      <c r="B5" s="3" t="s">
        <v>9</v>
      </c>
    </row>
    <row r="6" spans="1:2" ht="45" customHeight="1">
      <c r="A6" s="2" t="s">
        <v>10</v>
      </c>
      <c r="B6" s="3" t="s">
        <v>11</v>
      </c>
    </row>
    <row r="7" spans="1:2" ht="45" customHeight="1">
      <c r="A7" s="2" t="s">
        <v>12</v>
      </c>
      <c r="B7" s="3" t="s">
        <v>13</v>
      </c>
    </row>
    <row r="8" spans="1:2" ht="45" customHeight="1">
      <c r="A8" s="2" t="s">
        <v>14</v>
      </c>
      <c r="B8" s="3" t="s">
        <v>15</v>
      </c>
    </row>
    <row r="9" spans="1:2" ht="45" customHeight="1">
      <c r="A9" s="2" t="s">
        <v>16</v>
      </c>
      <c r="B9" s="3" t="s">
        <v>17</v>
      </c>
    </row>
    <row r="10" spans="1:2" ht="45" customHeight="1">
      <c r="A10" s="2" t="s">
        <v>18</v>
      </c>
      <c r="B10" s="3" t="s">
        <v>19</v>
      </c>
    </row>
    <row r="11" spans="1:2" ht="45" customHeight="1">
      <c r="A11" s="2" t="s">
        <v>20</v>
      </c>
      <c r="B11" s="3" t="s">
        <v>21</v>
      </c>
    </row>
    <row r="12" spans="1:2" ht="45" customHeight="1">
      <c r="A12" s="2" t="s">
        <v>22</v>
      </c>
      <c r="B12" s="3" t="s">
        <v>23</v>
      </c>
    </row>
    <row r="13" spans="1:2" ht="45" customHeight="1">
      <c r="A13" s="2" t="s">
        <v>24</v>
      </c>
      <c r="B13" s="3" t="s">
        <v>25</v>
      </c>
    </row>
    <row r="14" spans="1:2" ht="45" customHeight="1">
      <c r="A14" s="2" t="s">
        <v>26</v>
      </c>
      <c r="B14" s="3" t="s">
        <v>27</v>
      </c>
    </row>
    <row r="15" spans="1:2" ht="45" customHeight="1">
      <c r="A15" s="2" t="s">
        <v>28</v>
      </c>
      <c r="B15" s="3" t="s">
        <v>29</v>
      </c>
    </row>
  </sheetData>
  <autoFilter ref="A1:B1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activeCell="D6" sqref="D6"/>
    </sheetView>
  </sheetViews>
  <sheetFormatPr defaultColWidth="8.85546875" defaultRowHeight="15"/>
  <cols>
    <col min="1" max="3" width="22" customWidth="1"/>
    <col min="4" max="4" width="22" style="15" customWidth="1"/>
  </cols>
  <sheetData>
    <row r="1" spans="1:4" ht="32.1" customHeight="1">
      <c r="A1" s="1" t="s">
        <v>30</v>
      </c>
      <c r="B1" s="1" t="s">
        <v>31</v>
      </c>
      <c r="C1" s="1" t="s">
        <v>32</v>
      </c>
      <c r="D1" s="14" t="s">
        <v>33</v>
      </c>
    </row>
    <row r="2" spans="1:4">
      <c r="A2" t="s">
        <v>34</v>
      </c>
      <c r="B2" t="s">
        <v>35</v>
      </c>
      <c r="C2" t="s">
        <v>36</v>
      </c>
      <c r="D2" s="15">
        <v>430</v>
      </c>
    </row>
    <row r="3" spans="1:4">
      <c r="A3" t="s">
        <v>37</v>
      </c>
      <c r="B3" t="s">
        <v>38</v>
      </c>
      <c r="C3" t="s">
        <v>36</v>
      </c>
      <c r="D3" s="15">
        <v>95</v>
      </c>
    </row>
    <row r="4" spans="1:4">
      <c r="A4" t="s">
        <v>39</v>
      </c>
      <c r="B4" t="s">
        <v>40</v>
      </c>
      <c r="C4" t="s">
        <v>36</v>
      </c>
      <c r="D4" s="15">
        <v>155</v>
      </c>
    </row>
    <row r="5" spans="1:4">
      <c r="A5" t="s">
        <v>41</v>
      </c>
      <c r="B5" t="s">
        <v>42</v>
      </c>
      <c r="C5" t="s">
        <v>43</v>
      </c>
      <c r="D5" s="15">
        <v>14</v>
      </c>
    </row>
    <row r="6" spans="1:4">
      <c r="A6" t="s">
        <v>44</v>
      </c>
      <c r="B6" t="s">
        <v>45</v>
      </c>
      <c r="C6" t="s">
        <v>43</v>
      </c>
      <c r="D6" s="15">
        <v>7</v>
      </c>
    </row>
    <row r="7" spans="1:4">
      <c r="A7" t="s">
        <v>46</v>
      </c>
      <c r="B7" t="s">
        <v>47</v>
      </c>
      <c r="C7" t="s">
        <v>43</v>
      </c>
      <c r="D7" s="15">
        <v>22</v>
      </c>
    </row>
    <row r="8" spans="1:4">
      <c r="A8" t="s">
        <v>48</v>
      </c>
      <c r="B8" t="s">
        <v>49</v>
      </c>
      <c r="C8" t="s">
        <v>50</v>
      </c>
      <c r="D8" s="15">
        <v>95</v>
      </c>
    </row>
    <row r="9" spans="1:4">
      <c r="A9" t="s">
        <v>51</v>
      </c>
      <c r="B9" t="s">
        <v>52</v>
      </c>
      <c r="C9" t="s">
        <v>50</v>
      </c>
      <c r="D9" s="15">
        <v>65</v>
      </c>
    </row>
  </sheetData>
  <autoFilter ref="A1:D9" xr:uid="{00000000-0009-0000-0000-000001000000}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3" width="22" customWidth="1"/>
  </cols>
  <sheetData>
    <row r="1" spans="1:3" ht="32.1" customHeight="1">
      <c r="A1" s="1" t="s">
        <v>53</v>
      </c>
      <c r="B1" s="1" t="s">
        <v>54</v>
      </c>
      <c r="C1" s="1" t="s">
        <v>55</v>
      </c>
    </row>
    <row r="2" spans="1:3">
      <c r="A2" t="s">
        <v>56</v>
      </c>
      <c r="B2" t="s">
        <v>57</v>
      </c>
      <c r="C2" t="s">
        <v>58</v>
      </c>
    </row>
    <row r="3" spans="1:3">
      <c r="A3" t="s">
        <v>59</v>
      </c>
      <c r="B3" t="s">
        <v>60</v>
      </c>
      <c r="C3" t="s">
        <v>58</v>
      </c>
    </row>
    <row r="4" spans="1:3">
      <c r="A4" t="s">
        <v>61</v>
      </c>
      <c r="B4" t="s">
        <v>62</v>
      </c>
      <c r="C4" t="s">
        <v>63</v>
      </c>
    </row>
    <row r="5" spans="1:3">
      <c r="A5" t="s">
        <v>64</v>
      </c>
      <c r="B5" t="s">
        <v>65</v>
      </c>
      <c r="C5" t="s">
        <v>58</v>
      </c>
    </row>
    <row r="6" spans="1:3">
      <c r="A6" t="s">
        <v>66</v>
      </c>
      <c r="B6" t="s">
        <v>67</v>
      </c>
      <c r="C6" t="s">
        <v>58</v>
      </c>
    </row>
    <row r="7" spans="1:3">
      <c r="A7" t="s">
        <v>68</v>
      </c>
      <c r="B7" t="s">
        <v>69</v>
      </c>
      <c r="C7" t="s">
        <v>63</v>
      </c>
    </row>
    <row r="8" spans="1:3">
      <c r="A8" t="s">
        <v>70</v>
      </c>
      <c r="B8" t="s">
        <v>71</v>
      </c>
      <c r="C8" t="s">
        <v>58</v>
      </c>
    </row>
    <row r="9" spans="1:3">
      <c r="A9" t="s">
        <v>72</v>
      </c>
      <c r="B9" t="s">
        <v>73</v>
      </c>
      <c r="C9" t="s">
        <v>58</v>
      </c>
    </row>
    <row r="10" spans="1:3">
      <c r="A10" t="s">
        <v>74</v>
      </c>
      <c r="B10" t="s">
        <v>75</v>
      </c>
      <c r="C10" t="s">
        <v>63</v>
      </c>
    </row>
    <row r="11" spans="1:3">
      <c r="A11" t="s">
        <v>76</v>
      </c>
      <c r="B11" t="s">
        <v>77</v>
      </c>
      <c r="C11" t="s">
        <v>58</v>
      </c>
    </row>
    <row r="12" spans="1:3">
      <c r="A12" t="s">
        <v>78</v>
      </c>
      <c r="B12" t="s">
        <v>79</v>
      </c>
      <c r="C12" t="s">
        <v>58</v>
      </c>
    </row>
    <row r="13" spans="1:3">
      <c r="A13" t="s">
        <v>80</v>
      </c>
      <c r="B13" t="s">
        <v>81</v>
      </c>
      <c r="C13" t="s">
        <v>63</v>
      </c>
    </row>
    <row r="14" spans="1:3">
      <c r="A14" t="s">
        <v>82</v>
      </c>
      <c r="B14" t="s">
        <v>83</v>
      </c>
      <c r="C14" t="s">
        <v>58</v>
      </c>
    </row>
    <row r="15" spans="1:3">
      <c r="A15" t="s">
        <v>84</v>
      </c>
      <c r="B15" t="s">
        <v>85</v>
      </c>
      <c r="C15" t="s">
        <v>58</v>
      </c>
    </row>
    <row r="16" spans="1:3">
      <c r="A16" t="s">
        <v>86</v>
      </c>
      <c r="B16" t="s">
        <v>87</v>
      </c>
      <c r="C16" t="s">
        <v>63</v>
      </c>
    </row>
    <row r="17" spans="1:3">
      <c r="A17" t="s">
        <v>88</v>
      </c>
      <c r="B17" t="s">
        <v>89</v>
      </c>
      <c r="C17" t="s">
        <v>58</v>
      </c>
    </row>
    <row r="18" spans="1:3">
      <c r="A18" t="s">
        <v>90</v>
      </c>
      <c r="B18" t="s">
        <v>91</v>
      </c>
      <c r="C18" t="s">
        <v>58</v>
      </c>
    </row>
    <row r="19" spans="1:3">
      <c r="A19" t="s">
        <v>92</v>
      </c>
      <c r="B19" t="s">
        <v>93</v>
      </c>
      <c r="C19" t="s">
        <v>63</v>
      </c>
    </row>
    <row r="20" spans="1:3">
      <c r="A20" t="s">
        <v>94</v>
      </c>
      <c r="B20" t="s">
        <v>95</v>
      </c>
      <c r="C20" t="s">
        <v>58</v>
      </c>
    </row>
    <row r="21" spans="1:3">
      <c r="A21" t="s">
        <v>96</v>
      </c>
      <c r="B21" t="s">
        <v>97</v>
      </c>
      <c r="C21" t="s">
        <v>58</v>
      </c>
    </row>
    <row r="22" spans="1:3">
      <c r="A22" t="s">
        <v>98</v>
      </c>
      <c r="B22" t="s">
        <v>99</v>
      </c>
      <c r="C22" t="s">
        <v>63</v>
      </c>
    </row>
    <row r="23" spans="1:3">
      <c r="A23" t="s">
        <v>100</v>
      </c>
      <c r="B23" t="s">
        <v>101</v>
      </c>
      <c r="C23" t="s">
        <v>58</v>
      </c>
    </row>
    <row r="24" spans="1:3">
      <c r="A24" t="s">
        <v>102</v>
      </c>
      <c r="B24" t="s">
        <v>103</v>
      </c>
      <c r="C24" t="s">
        <v>58</v>
      </c>
    </row>
    <row r="25" spans="1:3">
      <c r="A25" t="s">
        <v>104</v>
      </c>
      <c r="B25" t="s">
        <v>105</v>
      </c>
      <c r="C25" t="s">
        <v>63</v>
      </c>
    </row>
    <row r="26" spans="1:3">
      <c r="A26" t="s">
        <v>106</v>
      </c>
      <c r="B26" t="s">
        <v>107</v>
      </c>
      <c r="C26" t="s">
        <v>58</v>
      </c>
    </row>
    <row r="27" spans="1:3">
      <c r="A27" t="s">
        <v>108</v>
      </c>
      <c r="B27" t="s">
        <v>109</v>
      </c>
      <c r="C27" t="s">
        <v>58</v>
      </c>
    </row>
    <row r="28" spans="1:3">
      <c r="A28" t="s">
        <v>110</v>
      </c>
      <c r="B28" t="s">
        <v>111</v>
      </c>
      <c r="C28" t="s">
        <v>63</v>
      </c>
    </row>
    <row r="29" spans="1:3">
      <c r="A29" t="s">
        <v>112</v>
      </c>
      <c r="B29" t="s">
        <v>113</v>
      </c>
      <c r="C29" t="s">
        <v>58</v>
      </c>
    </row>
    <row r="30" spans="1:3">
      <c r="A30" t="s">
        <v>114</v>
      </c>
      <c r="B30" t="s">
        <v>115</v>
      </c>
      <c r="C30" t="s">
        <v>58</v>
      </c>
    </row>
    <row r="31" spans="1:3">
      <c r="A31" t="s">
        <v>116</v>
      </c>
      <c r="B31" t="s">
        <v>117</v>
      </c>
      <c r="C31" t="s">
        <v>63</v>
      </c>
    </row>
    <row r="32" spans="1:3">
      <c r="A32" t="s">
        <v>118</v>
      </c>
      <c r="B32" t="s">
        <v>119</v>
      </c>
      <c r="C32" t="s">
        <v>58</v>
      </c>
    </row>
    <row r="33" spans="1:3">
      <c r="A33" t="s">
        <v>120</v>
      </c>
      <c r="B33" t="s">
        <v>121</v>
      </c>
      <c r="C33" t="s">
        <v>58</v>
      </c>
    </row>
    <row r="34" spans="1:3">
      <c r="A34" t="s">
        <v>122</v>
      </c>
      <c r="B34" t="s">
        <v>123</v>
      </c>
      <c r="C34" t="s">
        <v>63</v>
      </c>
    </row>
    <row r="35" spans="1:3">
      <c r="A35" t="s">
        <v>124</v>
      </c>
      <c r="B35" t="s">
        <v>125</v>
      </c>
      <c r="C35" t="s">
        <v>58</v>
      </c>
    </row>
    <row r="36" spans="1:3">
      <c r="A36" t="s">
        <v>126</v>
      </c>
      <c r="B36" t="s">
        <v>127</v>
      </c>
      <c r="C36" t="s">
        <v>58</v>
      </c>
    </row>
    <row r="37" spans="1:3">
      <c r="A37" t="s">
        <v>128</v>
      </c>
      <c r="B37" t="s">
        <v>129</v>
      </c>
      <c r="C37" t="s">
        <v>63</v>
      </c>
    </row>
    <row r="38" spans="1:3">
      <c r="A38" t="s">
        <v>130</v>
      </c>
      <c r="B38" t="s">
        <v>131</v>
      </c>
      <c r="C38" t="s">
        <v>58</v>
      </c>
    </row>
    <row r="39" spans="1:3">
      <c r="A39" t="s">
        <v>132</v>
      </c>
      <c r="B39" t="s">
        <v>133</v>
      </c>
      <c r="C39" t="s">
        <v>58</v>
      </c>
    </row>
    <row r="40" spans="1:3">
      <c r="A40" t="s">
        <v>134</v>
      </c>
      <c r="B40" t="s">
        <v>135</v>
      </c>
      <c r="C40" t="s">
        <v>63</v>
      </c>
    </row>
    <row r="41" spans="1:3">
      <c r="A41" t="s">
        <v>136</v>
      </c>
      <c r="B41" t="s">
        <v>137</v>
      </c>
      <c r="C41" t="s">
        <v>58</v>
      </c>
    </row>
  </sheetData>
  <autoFilter ref="A1:C41" xr:uid="{00000000-0009-0000-0000-000002000000}"/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6B09-7595-8748-B5DD-B196B7D10517}">
  <dimension ref="A3:F22"/>
  <sheetViews>
    <sheetView workbookViewId="0">
      <selection activeCell="E7" sqref="E7"/>
    </sheetView>
  </sheetViews>
  <sheetFormatPr defaultColWidth="11.42578125" defaultRowHeight="15"/>
  <cols>
    <col min="1" max="1" width="12.140625" bestFit="1" customWidth="1"/>
    <col min="2" max="2" width="13.42578125" bestFit="1" customWidth="1"/>
    <col min="3" max="3" width="15.42578125" bestFit="1" customWidth="1"/>
    <col min="4" max="4" width="14.42578125" bestFit="1" customWidth="1"/>
    <col min="5" max="5" width="13.28515625" customWidth="1"/>
    <col min="6" max="6" width="13.85546875" customWidth="1"/>
    <col min="7" max="7" width="13.42578125" customWidth="1"/>
    <col min="8" max="8" width="10" bestFit="1" customWidth="1"/>
    <col min="9" max="9" width="11.28515625" customWidth="1"/>
    <col min="10" max="10" width="15.42578125" bestFit="1" customWidth="1"/>
    <col min="12" max="12" width="12.28515625" customWidth="1"/>
    <col min="13" max="13" width="12" customWidth="1"/>
    <col min="14" max="14" width="12.42578125" customWidth="1"/>
    <col min="15" max="15" width="13.28515625" customWidth="1"/>
    <col min="16" max="16" width="10" bestFit="1" customWidth="1"/>
    <col min="17" max="17" width="12.28515625" customWidth="1"/>
    <col min="18" max="18" width="14.42578125" bestFit="1" customWidth="1"/>
    <col min="20" max="20" width="8.42578125" bestFit="1" customWidth="1"/>
    <col min="21" max="21" width="6.42578125" bestFit="1" customWidth="1"/>
    <col min="22" max="22" width="7.7109375" bestFit="1" customWidth="1"/>
    <col min="23" max="23" width="6.42578125" bestFit="1" customWidth="1"/>
    <col min="24" max="24" width="10" bestFit="1" customWidth="1"/>
    <col min="25" max="25" width="6" bestFit="1" customWidth="1"/>
    <col min="26" max="26" width="17.85546875" bestFit="1" customWidth="1"/>
    <col min="27" max="27" width="19.85546875" bestFit="1" customWidth="1"/>
    <col min="28" max="28" width="18.85546875" bestFit="1" customWidth="1"/>
  </cols>
  <sheetData>
    <row r="3" spans="1:5">
      <c r="A3" s="22" t="s">
        <v>138</v>
      </c>
      <c r="B3" t="s">
        <v>139</v>
      </c>
      <c r="C3" t="s">
        <v>140</v>
      </c>
      <c r="D3" t="s">
        <v>141</v>
      </c>
    </row>
    <row r="4" spans="1:5">
      <c r="A4" s="23" t="s">
        <v>142</v>
      </c>
      <c r="B4" s="15">
        <v>36590.299999999996</v>
      </c>
      <c r="C4" s="15">
        <v>14403.300000000001</v>
      </c>
      <c r="D4" s="21">
        <f>GETPIVOTDATA("Sum of Gross Profit",$A$3,"Months (Order Date)",1)/GETPIVOTDATA("Sum of Revenue",$A$3,"Months (Order Date)",1)</f>
        <v>0.39363711147489916</v>
      </c>
      <c r="E4" s="21"/>
    </row>
    <row r="5" spans="1:5">
      <c r="A5" s="23" t="s">
        <v>143</v>
      </c>
      <c r="B5" s="15">
        <v>23436.825000000008</v>
      </c>
      <c r="C5" s="15">
        <v>9771.8250000000007</v>
      </c>
      <c r="D5" s="21">
        <f>GETPIVOTDATA("Sum of Gross Profit",$A$3,"Months (Order Date)",2)/GETPIVOTDATA("Sum of Revenue",$A$3,"Months (Order Date)",2)</f>
        <v>0.41694320796438927</v>
      </c>
      <c r="E5" s="21"/>
    </row>
    <row r="6" spans="1:5">
      <c r="A6" s="23" t="s">
        <v>144</v>
      </c>
      <c r="B6" s="15">
        <v>38459.537499999999</v>
      </c>
      <c r="C6" s="15">
        <v>13741.537500000002</v>
      </c>
      <c r="D6" s="21">
        <f>GETPIVOTDATA("Sum of Gross Profit",$A$3,"Months (Order Date)",3)/GETPIVOTDATA("Sum of Revenue",$A$3,"Months (Order Date)",3)</f>
        <v>0.35729856345776395</v>
      </c>
      <c r="E6" s="21"/>
    </row>
    <row r="7" spans="1:5">
      <c r="A7" s="23" t="s">
        <v>145</v>
      </c>
      <c r="B7" s="15">
        <v>51197.562500000015</v>
      </c>
      <c r="C7" s="15">
        <v>19271.5625</v>
      </c>
      <c r="D7" s="21">
        <f>GETPIVOTDATA("Sum of Gross Profit",$A$3,"Months (Order Date)",4)/GETPIVOTDATA("Sum of Revenue",$A$3,"Months (Order Date)",4)</f>
        <v>0.3764156252555968</v>
      </c>
      <c r="E7" s="21"/>
    </row>
    <row r="8" spans="1:5">
      <c r="A8" s="23" t="s">
        <v>146</v>
      </c>
      <c r="B8" s="15">
        <v>31820.775000000005</v>
      </c>
      <c r="C8" s="15">
        <v>13547.775</v>
      </c>
      <c r="D8" s="21">
        <f>GETPIVOTDATA("Sum of Gross Profit",$A$3,"Months (Order Date)",5)/GETPIVOTDATA("Sum of Revenue",$A$3,"Months (Order Date)",5)</f>
        <v>0.42575251545570458</v>
      </c>
      <c r="E8" s="21"/>
    </row>
    <row r="9" spans="1:5">
      <c r="A9" s="23" t="s">
        <v>147</v>
      </c>
      <c r="B9" s="15">
        <v>48999.162499999999</v>
      </c>
      <c r="C9" s="15">
        <v>17800.162500000002</v>
      </c>
      <c r="D9" s="21">
        <f>GETPIVOTDATA("Sum of Gross Profit",$A$3,"Months (Order Date)",6)/GETPIVOTDATA("Sum of Revenue",$A$3,"Months (Order Date)",6)</f>
        <v>0.3632748314830892</v>
      </c>
      <c r="E9" s="21"/>
    </row>
    <row r="10" spans="1:5">
      <c r="A10" s="23" t="s">
        <v>148</v>
      </c>
      <c r="B10" s="15">
        <v>230504.16250000003</v>
      </c>
      <c r="C10" s="15">
        <v>88536.162500000006</v>
      </c>
    </row>
    <row r="17" spans="6:6">
      <c r="F17" s="21"/>
    </row>
    <row r="18" spans="6:6">
      <c r="F18" s="21"/>
    </row>
    <row r="19" spans="6:6">
      <c r="F19" s="21"/>
    </row>
    <row r="20" spans="6:6">
      <c r="F20" s="21"/>
    </row>
    <row r="21" spans="6:6">
      <c r="F21" s="21"/>
    </row>
    <row r="22" spans="6:6">
      <c r="F22" s="21"/>
    </row>
  </sheetData>
  <sortState xmlns:xlrd2="http://schemas.microsoft.com/office/spreadsheetml/2017/richdata2" ref="A3:C10">
    <sortCondition descending="1" ref="A5"/>
  </sortState>
  <pageMargins left="0.7" right="0.7" top="0.75" bottom="0.75" header="0.3" footer="0.3"/>
  <pageSetup paperSize="9" orientation="portrait" horizontalDpi="0" verticalDpi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07DF-CC15-484D-97FA-F0EAF09E411B}">
  <dimension ref="A3:E9"/>
  <sheetViews>
    <sheetView workbookViewId="0">
      <selection activeCell="A3" sqref="A3"/>
    </sheetView>
  </sheetViews>
  <sheetFormatPr defaultColWidth="11.42578125" defaultRowHeight="15"/>
  <cols>
    <col min="1" max="1" width="12.140625" bestFit="1" customWidth="1"/>
    <col min="2" max="2" width="13.42578125" bestFit="1" customWidth="1"/>
    <col min="3" max="3" width="15.42578125" bestFit="1" customWidth="1"/>
    <col min="4" max="4" width="14.42578125" bestFit="1" customWidth="1"/>
  </cols>
  <sheetData>
    <row r="3" spans="1:5">
      <c r="A3" s="22" t="s">
        <v>138</v>
      </c>
      <c r="B3" t="s">
        <v>139</v>
      </c>
      <c r="C3" t="s">
        <v>140</v>
      </c>
      <c r="D3" t="s">
        <v>149</v>
      </c>
      <c r="E3" t="s">
        <v>141</v>
      </c>
    </row>
    <row r="4" spans="1:5">
      <c r="A4" s="23" t="s">
        <v>150</v>
      </c>
      <c r="B4" s="15">
        <v>88181.21249999998</v>
      </c>
      <c r="C4" s="15">
        <v>32972.212499999994</v>
      </c>
      <c r="D4">
        <v>112</v>
      </c>
      <c r="E4" s="21">
        <f>GETPIVOTDATA("Sum of Gross Profit",$A$3,"Salesperson","Aisha Khan")/GETPIVOTDATA("Sum of Revenue",$A$3,"Salesperson","Aisha Khan")</f>
        <v>0.37391425639560127</v>
      </c>
    </row>
    <row r="5" spans="1:5">
      <c r="A5" s="23" t="s">
        <v>151</v>
      </c>
      <c r="B5" s="15">
        <v>59522.037500000006</v>
      </c>
      <c r="C5" s="15">
        <v>22128.037500000002</v>
      </c>
      <c r="D5">
        <v>90</v>
      </c>
      <c r="E5" s="21">
        <f>GETPIVOTDATA("Sum of Gross Profit",$A$3,"Salesperson","Chloe Evans")/GETPIVOTDATA("Sum of Revenue",$A$3,"Salesperson","Chloe Evans")</f>
        <v>0.37176209735763832</v>
      </c>
    </row>
    <row r="6" spans="1:5">
      <c r="A6" s="23" t="s">
        <v>152</v>
      </c>
      <c r="B6" s="15">
        <v>43073.149999999994</v>
      </c>
      <c r="C6" s="15">
        <v>17709.150000000005</v>
      </c>
      <c r="D6">
        <v>78</v>
      </c>
      <c r="E6" s="21">
        <f>GETPIVOTDATA("Sum of Gross Profit",$A$3,"Salesperson","Daniel Reed")/GETPIVOTDATA("Sum of Revenue",$A$3,"Salesperson","Daniel Reed")</f>
        <v>0.41114127942813578</v>
      </c>
    </row>
    <row r="7" spans="1:5">
      <c r="A7" s="23" t="s">
        <v>153</v>
      </c>
      <c r="B7" s="15">
        <v>38440.98750000001</v>
      </c>
      <c r="C7" s="15">
        <v>15092.987499999997</v>
      </c>
      <c r="D7">
        <v>76</v>
      </c>
      <c r="E7" s="21">
        <f>GETPIVOTDATA("Sum of Gross Profit",$A$3,"Salesperson","Ben Clarke")/GETPIVOTDATA("Sum of Revenue",$A$3,"Salesperson","Ben Clarke")</f>
        <v>0.39262746567059426</v>
      </c>
    </row>
    <row r="8" spans="1:5">
      <c r="A8" s="23" t="s">
        <v>154</v>
      </c>
      <c r="B8" s="15">
        <v>1286.7750000000001</v>
      </c>
      <c r="C8" s="15">
        <v>633.77500000000009</v>
      </c>
      <c r="D8">
        <v>2</v>
      </c>
      <c r="E8" s="21">
        <f>GETPIVOTDATA("Sum of Gross Profit",$A$3,"Salesperson","Unknown")/GETPIVOTDATA("Sum of Revenue",$A$3,"Salesperson","Unknown")</f>
        <v>0.49252977404752196</v>
      </c>
    </row>
    <row r="9" spans="1:5">
      <c r="A9" s="23" t="s">
        <v>148</v>
      </c>
      <c r="B9" s="15">
        <v>230504.16249999995</v>
      </c>
      <c r="C9" s="15">
        <v>88536.162499999962</v>
      </c>
      <c r="D9">
        <v>358</v>
      </c>
      <c r="E9" s="21">
        <f>GETPIVOTDATA("Sum of Gross Profit",$A$3)/GETPIVOTDATA("Sum of Revenue",$A$3)</f>
        <v>0.3840978902062126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4368-2694-8846-BA00-28A5B8A2AFBC}">
  <dimension ref="A1:P56"/>
  <sheetViews>
    <sheetView showGridLines="0" zoomScale="60" workbookViewId="0">
      <selection activeCell="T20" sqref="T20"/>
    </sheetView>
  </sheetViews>
  <sheetFormatPr defaultColWidth="11.42578125" defaultRowHeight="15"/>
  <cols>
    <col min="1" max="16" width="12.85546875" customWidth="1"/>
  </cols>
  <sheetData>
    <row r="1" spans="1:16" ht="26.1">
      <c r="A1" s="26" t="s">
        <v>155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3" spans="1:16">
      <c r="A3" s="32" t="s">
        <v>156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>
      <c r="A5" s="28" t="s">
        <v>157</v>
      </c>
      <c r="B5" s="28"/>
      <c r="C5" s="28"/>
      <c r="D5" s="28"/>
      <c r="E5" s="28" t="s">
        <v>158</v>
      </c>
      <c r="F5" s="28"/>
      <c r="G5" s="28"/>
      <c r="H5" s="28"/>
      <c r="I5" s="28" t="s">
        <v>141</v>
      </c>
      <c r="J5" s="28"/>
      <c r="K5" s="28"/>
      <c r="L5" s="28"/>
      <c r="M5" s="28" t="s">
        <v>159</v>
      </c>
      <c r="N5" s="28"/>
      <c r="O5" s="28"/>
      <c r="P5" s="28"/>
    </row>
    <row r="6" spans="1:16" ht="26.1" customHeight="1">
      <c r="A6" s="29">
        <f>SUM(Sales[Revenue])</f>
        <v>230504.16249999998</v>
      </c>
      <c r="B6" s="29"/>
      <c r="C6" s="29"/>
      <c r="D6" s="29"/>
      <c r="E6" s="29">
        <f>SUM(Sales[Gross Profit])</f>
        <v>88536.162499999933</v>
      </c>
      <c r="F6" s="29"/>
      <c r="G6" s="29"/>
      <c r="H6" s="29"/>
      <c r="I6" s="30">
        <f>E6/A6</f>
        <v>0.38409789020621238</v>
      </c>
      <c r="J6" s="30"/>
      <c r="K6" s="30"/>
      <c r="L6" s="30"/>
      <c r="M6" s="31">
        <f>COUNTA(Sales[Order ID])</f>
        <v>358</v>
      </c>
      <c r="N6" s="31"/>
      <c r="O6" s="31"/>
      <c r="P6" s="31"/>
    </row>
    <row r="7" spans="1:16">
      <c r="A7" s="29"/>
      <c r="B7" s="29"/>
      <c r="C7" s="29"/>
      <c r="D7" s="29"/>
      <c r="E7" s="29"/>
      <c r="F7" s="29"/>
      <c r="G7" s="29"/>
      <c r="H7" s="29"/>
      <c r="I7" s="30"/>
      <c r="J7" s="30"/>
      <c r="K7" s="30"/>
      <c r="L7" s="30"/>
      <c r="M7" s="31"/>
      <c r="N7" s="31"/>
      <c r="O7" s="31"/>
      <c r="P7" s="31"/>
    </row>
    <row r="8" spans="1:16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</sheetData>
  <mergeCells count="14">
    <mergeCell ref="A27:H42"/>
    <mergeCell ref="I27:P42"/>
    <mergeCell ref="A1:P1"/>
    <mergeCell ref="A5:D5"/>
    <mergeCell ref="E5:H5"/>
    <mergeCell ref="E6:H7"/>
    <mergeCell ref="A6:D7"/>
    <mergeCell ref="I5:L5"/>
    <mergeCell ref="I6:L7"/>
    <mergeCell ref="M5:P5"/>
    <mergeCell ref="M6:P7"/>
    <mergeCell ref="A3:P3"/>
    <mergeCell ref="A10:H25"/>
    <mergeCell ref="I10:P25"/>
  </mergeCells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4"/>
  <sheetViews>
    <sheetView topLeftCell="J1" workbookViewId="0">
      <pane ySplit="1" topLeftCell="A2" activePane="bottomLeft" state="frozen"/>
      <selection pane="bottomLeft" activeCell="Q22" sqref="Q22"/>
    </sheetView>
  </sheetViews>
  <sheetFormatPr defaultColWidth="8.85546875" defaultRowHeight="15"/>
  <cols>
    <col min="1" max="1" width="22" customWidth="1"/>
    <col min="2" max="2" width="22" style="4" customWidth="1"/>
    <col min="3" max="10" width="22" customWidth="1"/>
    <col min="11" max="11" width="22" style="17" customWidth="1"/>
    <col min="12" max="14" width="22" customWidth="1"/>
    <col min="15" max="15" width="24" style="15" customWidth="1"/>
    <col min="16" max="16" width="22" style="15" customWidth="1"/>
    <col min="17" max="17" width="27.28515625" customWidth="1"/>
    <col min="18" max="18" width="21.42578125" style="21" customWidth="1"/>
  </cols>
  <sheetData>
    <row r="1" spans="1:18" ht="32.1" customHeight="1">
      <c r="A1" s="1" t="s">
        <v>160</v>
      </c>
      <c r="B1" s="8" t="s">
        <v>161</v>
      </c>
      <c r="C1" s="1" t="s">
        <v>30</v>
      </c>
      <c r="D1" s="1" t="s">
        <v>31</v>
      </c>
      <c r="E1" s="1" t="s">
        <v>32</v>
      </c>
      <c r="F1" s="1" t="s">
        <v>162</v>
      </c>
      <c r="G1" s="1" t="s">
        <v>53</v>
      </c>
      <c r="H1" s="1" t="s">
        <v>54</v>
      </c>
      <c r="I1" s="1" t="s">
        <v>55</v>
      </c>
      <c r="J1" s="1" t="s">
        <v>163</v>
      </c>
      <c r="K1" s="16" t="s">
        <v>164</v>
      </c>
      <c r="L1" s="1" t="s">
        <v>165</v>
      </c>
      <c r="M1" s="1" t="s">
        <v>166</v>
      </c>
      <c r="N1" s="1" t="s">
        <v>167</v>
      </c>
      <c r="O1" s="19" t="s">
        <v>168</v>
      </c>
      <c r="P1" s="19" t="s">
        <v>169</v>
      </c>
      <c r="Q1" s="18" t="s">
        <v>158</v>
      </c>
      <c r="R1" s="20" t="s">
        <v>141</v>
      </c>
    </row>
    <row r="2" spans="1:18">
      <c r="A2" t="s">
        <v>170</v>
      </c>
      <c r="B2" s="4">
        <v>46024</v>
      </c>
      <c r="C2" t="s">
        <v>34</v>
      </c>
      <c r="D2" t="s">
        <v>35</v>
      </c>
      <c r="E2" t="s">
        <v>36</v>
      </c>
      <c r="F2" t="s">
        <v>171</v>
      </c>
      <c r="G2" t="s">
        <v>110</v>
      </c>
      <c r="H2" t="s">
        <v>111</v>
      </c>
      <c r="I2" t="s">
        <v>63</v>
      </c>
      <c r="J2" t="s">
        <v>150</v>
      </c>
      <c r="K2" s="17">
        <v>11</v>
      </c>
      <c r="L2" s="5">
        <v>682.5</v>
      </c>
      <c r="M2" s="5">
        <v>430</v>
      </c>
      <c r="N2" s="6">
        <v>0.05</v>
      </c>
      <c r="O2" s="15">
        <f>Sales[[#This Row],[Quantity]]*Sales[[#This Row],[Unit Price]]*(1-Sales[[#This Row],[Discount Rate]])</f>
        <v>7132.125</v>
      </c>
      <c r="P2" s="15">
        <f>Sales[[#This Row],[Unit Cost]]*Sales[[#This Row],[Quantity]]</f>
        <v>4730</v>
      </c>
      <c r="Q2" s="15">
        <f>Sales[[#This Row],[Revenue]]-Sales[[#This Row],[Product cost]]</f>
        <v>2402.125</v>
      </c>
      <c r="R2" s="21">
        <f>Sales[[#This Row],[Gross Profit]]/Sales[[#This Row],[Revenue]]</f>
        <v>0.33680354732986312</v>
      </c>
    </row>
    <row r="3" spans="1:18">
      <c r="A3" t="s">
        <v>172</v>
      </c>
      <c r="B3" s="4">
        <v>46084</v>
      </c>
      <c r="C3" t="s">
        <v>34</v>
      </c>
      <c r="D3" t="s">
        <v>35</v>
      </c>
      <c r="E3" t="s">
        <v>36</v>
      </c>
      <c r="F3" t="s">
        <v>173</v>
      </c>
      <c r="G3" t="s">
        <v>98</v>
      </c>
      <c r="H3" t="s">
        <v>99</v>
      </c>
      <c r="I3" t="s">
        <v>63</v>
      </c>
      <c r="J3" t="s">
        <v>150</v>
      </c>
      <c r="K3" s="17">
        <v>10</v>
      </c>
      <c r="L3" s="5">
        <v>617.5</v>
      </c>
      <c r="M3" s="5">
        <v>430</v>
      </c>
      <c r="N3" s="6">
        <v>0</v>
      </c>
      <c r="O3" s="15">
        <f>Sales[[#This Row],[Quantity]]*Sales[[#This Row],[Unit Price]]*(1-Sales[[#This Row],[Discount Rate]])</f>
        <v>6175</v>
      </c>
      <c r="P3" s="15">
        <f>Sales[[#This Row],[Unit Cost]]*Sales[[#This Row],[Quantity]]</f>
        <v>4300</v>
      </c>
      <c r="Q3" s="15">
        <f>Sales[[#This Row],[Revenue]]-Sales[[#This Row],[Product cost]]</f>
        <v>1875</v>
      </c>
      <c r="R3" s="21">
        <f>Sales[[#This Row],[Gross Profit]]/Sales[[#This Row],[Revenue]]</f>
        <v>0.30364372469635625</v>
      </c>
    </row>
    <row r="4" spans="1:18">
      <c r="A4" t="s">
        <v>174</v>
      </c>
      <c r="B4" s="4">
        <v>46194</v>
      </c>
      <c r="C4" t="s">
        <v>34</v>
      </c>
      <c r="D4" t="s">
        <v>35</v>
      </c>
      <c r="E4" t="s">
        <v>36</v>
      </c>
      <c r="F4" t="s">
        <v>175</v>
      </c>
      <c r="G4" t="s">
        <v>74</v>
      </c>
      <c r="H4" t="s">
        <v>75</v>
      </c>
      <c r="I4" t="s">
        <v>63</v>
      </c>
      <c r="J4" t="s">
        <v>150</v>
      </c>
      <c r="K4" s="17">
        <v>8</v>
      </c>
      <c r="L4" s="5">
        <v>650</v>
      </c>
      <c r="M4" s="5">
        <v>430</v>
      </c>
      <c r="N4" s="6">
        <v>0.05</v>
      </c>
      <c r="O4" s="15">
        <f>Sales[[#This Row],[Quantity]]*Sales[[#This Row],[Unit Price]]*(1-Sales[[#This Row],[Discount Rate]])</f>
        <v>4940</v>
      </c>
      <c r="P4" s="15">
        <f>Sales[[#This Row],[Unit Cost]]*Sales[[#This Row],[Quantity]]</f>
        <v>3440</v>
      </c>
      <c r="Q4" s="15">
        <f>Sales[[#This Row],[Revenue]]-Sales[[#This Row],[Product cost]]</f>
        <v>1500</v>
      </c>
      <c r="R4" s="21">
        <f>Sales[[#This Row],[Gross Profit]]/Sales[[#This Row],[Revenue]]</f>
        <v>0.30364372469635625</v>
      </c>
    </row>
    <row r="5" spans="1:18">
      <c r="A5" t="s">
        <v>176</v>
      </c>
      <c r="B5" s="4">
        <v>46130</v>
      </c>
      <c r="C5" t="s">
        <v>34</v>
      </c>
      <c r="D5" t="s">
        <v>35</v>
      </c>
      <c r="E5" t="s">
        <v>36</v>
      </c>
      <c r="F5" t="s">
        <v>175</v>
      </c>
      <c r="G5" t="s">
        <v>110</v>
      </c>
      <c r="H5" t="s">
        <v>111</v>
      </c>
      <c r="I5" t="s">
        <v>63</v>
      </c>
      <c r="J5" t="s">
        <v>150</v>
      </c>
      <c r="K5" s="17">
        <v>7</v>
      </c>
      <c r="L5" s="5">
        <v>682.5</v>
      </c>
      <c r="M5" s="5">
        <v>430</v>
      </c>
      <c r="N5" s="6">
        <v>0</v>
      </c>
      <c r="O5" s="15">
        <f>Sales[[#This Row],[Quantity]]*Sales[[#This Row],[Unit Price]]*(1-Sales[[#This Row],[Discount Rate]])</f>
        <v>4777.5</v>
      </c>
      <c r="P5" s="15">
        <f>Sales[[#This Row],[Unit Cost]]*Sales[[#This Row],[Quantity]]</f>
        <v>3010</v>
      </c>
      <c r="Q5" s="15">
        <f>Sales[[#This Row],[Revenue]]-Sales[[#This Row],[Product cost]]</f>
        <v>1767.5</v>
      </c>
      <c r="R5" s="21">
        <f>Sales[[#This Row],[Gross Profit]]/Sales[[#This Row],[Revenue]]</f>
        <v>0.36996336996336998</v>
      </c>
    </row>
    <row r="6" spans="1:18">
      <c r="A6" t="s">
        <v>177</v>
      </c>
      <c r="B6" s="4">
        <v>46182</v>
      </c>
      <c r="C6" t="s">
        <v>34</v>
      </c>
      <c r="D6" t="s">
        <v>35</v>
      </c>
      <c r="E6" t="s">
        <v>36</v>
      </c>
      <c r="F6" t="s">
        <v>178</v>
      </c>
      <c r="G6" t="s">
        <v>128</v>
      </c>
      <c r="H6" t="s">
        <v>129</v>
      </c>
      <c r="I6" t="s">
        <v>63</v>
      </c>
      <c r="J6" t="s">
        <v>151</v>
      </c>
      <c r="K6" s="17">
        <v>7</v>
      </c>
      <c r="L6" s="5">
        <v>650</v>
      </c>
      <c r="M6" s="5">
        <v>430</v>
      </c>
      <c r="N6" s="6">
        <v>0.05</v>
      </c>
      <c r="O6" s="15">
        <f>Sales[[#This Row],[Quantity]]*Sales[[#This Row],[Unit Price]]*(1-Sales[[#This Row],[Discount Rate]])</f>
        <v>4322.5</v>
      </c>
      <c r="P6" s="15">
        <f>Sales[[#This Row],[Unit Cost]]*Sales[[#This Row],[Quantity]]</f>
        <v>3010</v>
      </c>
      <c r="Q6" s="15">
        <f>Sales[[#This Row],[Revenue]]-Sales[[#This Row],[Product cost]]</f>
        <v>1312.5</v>
      </c>
      <c r="R6" s="21">
        <f>Sales[[#This Row],[Gross Profit]]/Sales[[#This Row],[Revenue]]</f>
        <v>0.30364372469635625</v>
      </c>
    </row>
    <row r="7" spans="1:18">
      <c r="A7" t="s">
        <v>179</v>
      </c>
      <c r="B7" s="4">
        <v>46115</v>
      </c>
      <c r="C7" t="s">
        <v>34</v>
      </c>
      <c r="D7" t="s">
        <v>35</v>
      </c>
      <c r="E7" t="s">
        <v>36</v>
      </c>
      <c r="F7" t="s">
        <v>173</v>
      </c>
      <c r="G7" t="s">
        <v>104</v>
      </c>
      <c r="H7" t="s">
        <v>105</v>
      </c>
      <c r="I7" t="s">
        <v>63</v>
      </c>
      <c r="J7" t="s">
        <v>150</v>
      </c>
      <c r="K7" s="17">
        <v>7</v>
      </c>
      <c r="L7" s="5">
        <v>617.5</v>
      </c>
      <c r="M7" s="5">
        <v>430</v>
      </c>
      <c r="N7" s="6">
        <v>0.05</v>
      </c>
      <c r="O7" s="15">
        <f>Sales[[#This Row],[Quantity]]*Sales[[#This Row],[Unit Price]]*(1-Sales[[#This Row],[Discount Rate]])</f>
        <v>4106.375</v>
      </c>
      <c r="P7" s="15">
        <f>Sales[[#This Row],[Unit Cost]]*Sales[[#This Row],[Quantity]]</f>
        <v>3010</v>
      </c>
      <c r="Q7" s="15">
        <f>Sales[[#This Row],[Revenue]]-Sales[[#This Row],[Product cost]]</f>
        <v>1096.375</v>
      </c>
      <c r="R7" s="21">
        <f>Sales[[#This Row],[Gross Profit]]/Sales[[#This Row],[Revenue]]</f>
        <v>0.26699339441721714</v>
      </c>
    </row>
    <row r="8" spans="1:18">
      <c r="A8" t="s">
        <v>180</v>
      </c>
      <c r="B8" s="4">
        <v>46137</v>
      </c>
      <c r="C8" t="s">
        <v>39</v>
      </c>
      <c r="D8" t="s">
        <v>40</v>
      </c>
      <c r="E8" t="s">
        <v>36</v>
      </c>
      <c r="F8" t="s">
        <v>175</v>
      </c>
      <c r="G8" t="s">
        <v>104</v>
      </c>
      <c r="H8" t="s">
        <v>105</v>
      </c>
      <c r="I8" t="s">
        <v>63</v>
      </c>
      <c r="J8" t="s">
        <v>151</v>
      </c>
      <c r="K8" s="17">
        <v>12</v>
      </c>
      <c r="L8" s="5">
        <v>273</v>
      </c>
      <c r="M8" s="5">
        <v>155</v>
      </c>
      <c r="N8" s="6">
        <v>0</v>
      </c>
      <c r="O8" s="15">
        <f>Sales[[#This Row],[Quantity]]*Sales[[#This Row],[Unit Price]]*(1-Sales[[#This Row],[Discount Rate]])</f>
        <v>3276</v>
      </c>
      <c r="P8" s="15">
        <f>Sales[[#This Row],[Unit Cost]]*Sales[[#This Row],[Quantity]]</f>
        <v>1860</v>
      </c>
      <c r="Q8" s="15">
        <f>Sales[[#This Row],[Revenue]]-Sales[[#This Row],[Product cost]]</f>
        <v>1416</v>
      </c>
      <c r="R8" s="21">
        <f>Sales[[#This Row],[Gross Profit]]/Sales[[#This Row],[Revenue]]</f>
        <v>0.43223443223443225</v>
      </c>
    </row>
    <row r="9" spans="1:18">
      <c r="A9" t="s">
        <v>181</v>
      </c>
      <c r="B9" s="4">
        <v>46118</v>
      </c>
      <c r="C9" t="s">
        <v>34</v>
      </c>
      <c r="D9" t="s">
        <v>35</v>
      </c>
      <c r="E9" t="s">
        <v>36</v>
      </c>
      <c r="F9" t="s">
        <v>171</v>
      </c>
      <c r="G9" t="s">
        <v>134</v>
      </c>
      <c r="H9" t="s">
        <v>135</v>
      </c>
      <c r="I9" t="s">
        <v>63</v>
      </c>
      <c r="J9" t="s">
        <v>150</v>
      </c>
      <c r="K9" s="17">
        <v>5</v>
      </c>
      <c r="L9" s="5">
        <v>682.5</v>
      </c>
      <c r="M9" s="5">
        <v>430</v>
      </c>
      <c r="N9" s="6">
        <v>0.15</v>
      </c>
      <c r="O9" s="15">
        <f>Sales[[#This Row],[Quantity]]*Sales[[#This Row],[Unit Price]]*(1-Sales[[#This Row],[Discount Rate]])</f>
        <v>2900.625</v>
      </c>
      <c r="P9" s="15">
        <f>Sales[[#This Row],[Unit Cost]]*Sales[[#This Row],[Quantity]]</f>
        <v>2150</v>
      </c>
      <c r="Q9" s="15">
        <f>Sales[[#This Row],[Revenue]]-Sales[[#This Row],[Product cost]]</f>
        <v>750.625</v>
      </c>
      <c r="R9" s="21">
        <f>Sales[[#This Row],[Gross Profit]]/Sales[[#This Row],[Revenue]]</f>
        <v>0.25878043525102351</v>
      </c>
    </row>
    <row r="10" spans="1:18">
      <c r="A10" t="s">
        <v>182</v>
      </c>
      <c r="B10" s="4">
        <v>46100</v>
      </c>
      <c r="C10" t="s">
        <v>34</v>
      </c>
      <c r="D10" t="s">
        <v>35</v>
      </c>
      <c r="E10" t="s">
        <v>36</v>
      </c>
      <c r="F10" t="s">
        <v>173</v>
      </c>
      <c r="G10" t="s">
        <v>96</v>
      </c>
      <c r="H10" t="s">
        <v>97</v>
      </c>
      <c r="I10" t="s">
        <v>58</v>
      </c>
      <c r="J10" t="s">
        <v>150</v>
      </c>
      <c r="K10" s="17">
        <v>4</v>
      </c>
      <c r="L10" s="5">
        <v>650</v>
      </c>
      <c r="M10" s="5">
        <v>430</v>
      </c>
      <c r="N10" s="6">
        <v>0</v>
      </c>
      <c r="O10" s="15">
        <f>Sales[[#This Row],[Quantity]]*Sales[[#This Row],[Unit Price]]*(1-Sales[[#This Row],[Discount Rate]])</f>
        <v>2600</v>
      </c>
      <c r="P10" s="15">
        <f>Sales[[#This Row],[Unit Cost]]*Sales[[#This Row],[Quantity]]</f>
        <v>1720</v>
      </c>
      <c r="Q10" s="15">
        <f>Sales[[#This Row],[Revenue]]-Sales[[#This Row],[Product cost]]</f>
        <v>880</v>
      </c>
      <c r="R10" s="21">
        <f>Sales[[#This Row],[Gross Profit]]/Sales[[#This Row],[Revenue]]</f>
        <v>0.33846153846153848</v>
      </c>
    </row>
    <row r="11" spans="1:18">
      <c r="A11" t="s">
        <v>183</v>
      </c>
      <c r="B11" s="4">
        <v>46150</v>
      </c>
      <c r="C11" t="s">
        <v>34</v>
      </c>
      <c r="D11" t="s">
        <v>35</v>
      </c>
      <c r="E11" t="s">
        <v>36</v>
      </c>
      <c r="F11" t="s">
        <v>171</v>
      </c>
      <c r="G11" t="s">
        <v>106</v>
      </c>
      <c r="H11" t="s">
        <v>107</v>
      </c>
      <c r="I11" t="s">
        <v>58</v>
      </c>
      <c r="J11" t="s">
        <v>152</v>
      </c>
      <c r="K11" s="17">
        <v>4</v>
      </c>
      <c r="L11" s="5">
        <v>650</v>
      </c>
      <c r="M11" s="5">
        <v>430</v>
      </c>
      <c r="N11" s="6">
        <v>0</v>
      </c>
      <c r="O11" s="15">
        <f>Sales[[#This Row],[Quantity]]*Sales[[#This Row],[Unit Price]]*(1-Sales[[#This Row],[Discount Rate]])</f>
        <v>2600</v>
      </c>
      <c r="P11" s="15">
        <f>Sales[[#This Row],[Unit Cost]]*Sales[[#This Row],[Quantity]]</f>
        <v>1720</v>
      </c>
      <c r="Q11" s="15">
        <f>Sales[[#This Row],[Revenue]]-Sales[[#This Row],[Product cost]]</f>
        <v>880</v>
      </c>
      <c r="R11" s="21">
        <f>Sales[[#This Row],[Gross Profit]]/Sales[[#This Row],[Revenue]]</f>
        <v>0.33846153846153848</v>
      </c>
    </row>
    <row r="12" spans="1:18">
      <c r="A12" t="s">
        <v>184</v>
      </c>
      <c r="B12" s="4">
        <v>46186</v>
      </c>
      <c r="C12" t="s">
        <v>34</v>
      </c>
      <c r="D12" t="s">
        <v>35</v>
      </c>
      <c r="E12" t="s">
        <v>36</v>
      </c>
      <c r="F12" t="s">
        <v>178</v>
      </c>
      <c r="G12" t="s">
        <v>108</v>
      </c>
      <c r="H12" t="s">
        <v>109</v>
      </c>
      <c r="I12" t="s">
        <v>58</v>
      </c>
      <c r="J12" t="s">
        <v>151</v>
      </c>
      <c r="K12" s="17">
        <v>4</v>
      </c>
      <c r="L12" s="5">
        <v>650</v>
      </c>
      <c r="M12" s="5">
        <v>430</v>
      </c>
      <c r="N12" s="6">
        <v>0</v>
      </c>
      <c r="O12" s="15">
        <f>Sales[[#This Row],[Quantity]]*Sales[[#This Row],[Unit Price]]*(1-Sales[[#This Row],[Discount Rate]])</f>
        <v>2600</v>
      </c>
      <c r="P12" s="15">
        <f>Sales[[#This Row],[Unit Cost]]*Sales[[#This Row],[Quantity]]</f>
        <v>1720</v>
      </c>
      <c r="Q12" s="15">
        <f>Sales[[#This Row],[Revenue]]-Sales[[#This Row],[Product cost]]</f>
        <v>880</v>
      </c>
      <c r="R12" s="21">
        <f>Sales[[#This Row],[Gross Profit]]/Sales[[#This Row],[Revenue]]</f>
        <v>0.33846153846153848</v>
      </c>
    </row>
    <row r="13" spans="1:18">
      <c r="A13" t="s">
        <v>185</v>
      </c>
      <c r="B13" s="4">
        <v>46197</v>
      </c>
      <c r="C13" t="s">
        <v>34</v>
      </c>
      <c r="D13" t="s">
        <v>35</v>
      </c>
      <c r="E13" t="s">
        <v>36</v>
      </c>
      <c r="F13" t="s">
        <v>173</v>
      </c>
      <c r="G13" t="s">
        <v>130</v>
      </c>
      <c r="H13" t="s">
        <v>131</v>
      </c>
      <c r="I13" t="s">
        <v>58</v>
      </c>
      <c r="J13" t="s">
        <v>151</v>
      </c>
      <c r="K13" s="17">
        <v>4</v>
      </c>
      <c r="L13" s="5">
        <v>650</v>
      </c>
      <c r="M13" s="5">
        <v>430</v>
      </c>
      <c r="N13" s="6">
        <v>0.05</v>
      </c>
      <c r="O13" s="15">
        <f>Sales[[#This Row],[Quantity]]*Sales[[#This Row],[Unit Price]]*(1-Sales[[#This Row],[Discount Rate]])</f>
        <v>2470</v>
      </c>
      <c r="P13" s="15">
        <f>Sales[[#This Row],[Unit Cost]]*Sales[[#This Row],[Quantity]]</f>
        <v>1720</v>
      </c>
      <c r="Q13" s="15">
        <f>Sales[[#This Row],[Revenue]]-Sales[[#This Row],[Product cost]]</f>
        <v>750</v>
      </c>
      <c r="R13" s="21">
        <f>Sales[[#This Row],[Gross Profit]]/Sales[[#This Row],[Revenue]]</f>
        <v>0.30364372469635625</v>
      </c>
    </row>
    <row r="14" spans="1:18">
      <c r="A14" t="s">
        <v>186</v>
      </c>
      <c r="B14" s="4">
        <v>46199</v>
      </c>
      <c r="C14" t="s">
        <v>34</v>
      </c>
      <c r="D14" t="s">
        <v>35</v>
      </c>
      <c r="E14" t="s">
        <v>36</v>
      </c>
      <c r="F14" t="s">
        <v>173</v>
      </c>
      <c r="G14" t="s">
        <v>124</v>
      </c>
      <c r="H14" t="s">
        <v>125</v>
      </c>
      <c r="I14" t="s">
        <v>58</v>
      </c>
      <c r="J14" t="s">
        <v>150</v>
      </c>
      <c r="K14" s="17">
        <v>4</v>
      </c>
      <c r="L14" s="15">
        <v>650</v>
      </c>
      <c r="M14" s="5">
        <v>430</v>
      </c>
      <c r="N14" s="6">
        <v>0.05</v>
      </c>
      <c r="O14" s="15">
        <f>Sales[[#This Row],[Quantity]]*Sales[[#This Row],[Unit Price]]*(1-Sales[[#This Row],[Discount Rate]])</f>
        <v>2470</v>
      </c>
      <c r="P14" s="15">
        <f>Sales[[#This Row],[Unit Cost]]*Sales[[#This Row],[Quantity]]</f>
        <v>1720</v>
      </c>
      <c r="Q14" s="15">
        <f>Sales[[#This Row],[Revenue]]-Sales[[#This Row],[Product cost]]</f>
        <v>750</v>
      </c>
      <c r="R14" s="21">
        <f>Sales[[#This Row],[Gross Profit]]/Sales[[#This Row],[Revenue]]</f>
        <v>0.30364372469635625</v>
      </c>
    </row>
    <row r="15" spans="1:18">
      <c r="A15" t="s">
        <v>187</v>
      </c>
      <c r="B15" s="4">
        <v>46024</v>
      </c>
      <c r="C15" t="s">
        <v>34</v>
      </c>
      <c r="D15" t="s">
        <v>35</v>
      </c>
      <c r="E15" t="s">
        <v>36</v>
      </c>
      <c r="F15" t="s">
        <v>178</v>
      </c>
      <c r="G15" t="s">
        <v>66</v>
      </c>
      <c r="H15" t="s">
        <v>67</v>
      </c>
      <c r="I15" t="s">
        <v>58</v>
      </c>
      <c r="J15" t="s">
        <v>150</v>
      </c>
      <c r="K15" s="17">
        <v>4</v>
      </c>
      <c r="L15" s="5">
        <v>682.5</v>
      </c>
      <c r="M15" s="5">
        <v>430</v>
      </c>
      <c r="N15" s="6">
        <v>0.1</v>
      </c>
      <c r="O15" s="15">
        <f>Sales[[#This Row],[Quantity]]*Sales[[#This Row],[Unit Price]]*(1-Sales[[#This Row],[Discount Rate]])</f>
        <v>2457</v>
      </c>
      <c r="P15" s="15">
        <f>Sales[[#This Row],[Unit Cost]]*Sales[[#This Row],[Quantity]]</f>
        <v>1720</v>
      </c>
      <c r="Q15" s="15">
        <f>Sales[[#This Row],[Revenue]]-Sales[[#This Row],[Product cost]]</f>
        <v>737</v>
      </c>
      <c r="R15" s="21">
        <f>Sales[[#This Row],[Gross Profit]]/Sales[[#This Row],[Revenue]]</f>
        <v>0.29995929995929999</v>
      </c>
    </row>
    <row r="16" spans="1:18">
      <c r="A16" t="s">
        <v>188</v>
      </c>
      <c r="B16" s="4">
        <v>46122</v>
      </c>
      <c r="C16" t="s">
        <v>34</v>
      </c>
      <c r="D16" t="s">
        <v>35</v>
      </c>
      <c r="E16" t="s">
        <v>36</v>
      </c>
      <c r="F16" t="s">
        <v>178</v>
      </c>
      <c r="G16" t="s">
        <v>112</v>
      </c>
      <c r="H16" t="s">
        <v>113</v>
      </c>
      <c r="I16" t="s">
        <v>58</v>
      </c>
      <c r="J16" t="s">
        <v>153</v>
      </c>
      <c r="K16" s="17">
        <v>4</v>
      </c>
      <c r="L16" s="5">
        <v>682.5</v>
      </c>
      <c r="M16" s="5">
        <v>430</v>
      </c>
      <c r="N16" s="6">
        <v>0.15</v>
      </c>
      <c r="O16" s="15">
        <f>Sales[[#This Row],[Quantity]]*Sales[[#This Row],[Unit Price]]*(1-Sales[[#This Row],[Discount Rate]])</f>
        <v>2320.5</v>
      </c>
      <c r="P16" s="15">
        <f>Sales[[#This Row],[Unit Cost]]*Sales[[#This Row],[Quantity]]</f>
        <v>1720</v>
      </c>
      <c r="Q16" s="15">
        <f>Sales[[#This Row],[Revenue]]-Sales[[#This Row],[Product cost]]</f>
        <v>600.5</v>
      </c>
      <c r="R16" s="21">
        <f>Sales[[#This Row],[Gross Profit]]/Sales[[#This Row],[Revenue]]</f>
        <v>0.25878043525102351</v>
      </c>
    </row>
    <row r="17" spans="1:18">
      <c r="A17" t="s">
        <v>189</v>
      </c>
      <c r="B17" s="4">
        <v>46185</v>
      </c>
      <c r="C17" t="s">
        <v>34</v>
      </c>
      <c r="D17" t="s">
        <v>35</v>
      </c>
      <c r="E17" t="s">
        <v>36</v>
      </c>
      <c r="F17" t="s">
        <v>178</v>
      </c>
      <c r="G17" t="s">
        <v>92</v>
      </c>
      <c r="H17" t="s">
        <v>93</v>
      </c>
      <c r="I17" t="s">
        <v>63</v>
      </c>
      <c r="J17" t="s">
        <v>151</v>
      </c>
      <c r="K17" s="17">
        <v>4</v>
      </c>
      <c r="L17" s="5">
        <v>617.5</v>
      </c>
      <c r="M17" s="5">
        <v>430</v>
      </c>
      <c r="N17" s="6">
        <v>0.1</v>
      </c>
      <c r="O17" s="15">
        <f>Sales[[#This Row],[Quantity]]*Sales[[#This Row],[Unit Price]]*(1-Sales[[#This Row],[Discount Rate]])</f>
        <v>2223</v>
      </c>
      <c r="P17" s="15">
        <f>Sales[[#This Row],[Unit Cost]]*Sales[[#This Row],[Quantity]]</f>
        <v>1720</v>
      </c>
      <c r="Q17" s="15">
        <f>Sales[[#This Row],[Revenue]]-Sales[[#This Row],[Product cost]]</f>
        <v>503</v>
      </c>
      <c r="R17" s="21">
        <f>Sales[[#This Row],[Gross Profit]]/Sales[[#This Row],[Revenue]]</f>
        <v>0.22627080521817364</v>
      </c>
    </row>
    <row r="18" spans="1:18">
      <c r="A18" t="s">
        <v>190</v>
      </c>
      <c r="B18" s="4">
        <v>46076</v>
      </c>
      <c r="C18" t="s">
        <v>37</v>
      </c>
      <c r="D18" t="s">
        <v>38</v>
      </c>
      <c r="E18" t="s">
        <v>36</v>
      </c>
      <c r="F18" t="s">
        <v>175</v>
      </c>
      <c r="G18" t="s">
        <v>128</v>
      </c>
      <c r="H18" t="s">
        <v>129</v>
      </c>
      <c r="I18" t="s">
        <v>63</v>
      </c>
      <c r="J18" t="s">
        <v>153</v>
      </c>
      <c r="K18" s="17">
        <v>12</v>
      </c>
      <c r="L18" s="5">
        <v>180</v>
      </c>
      <c r="M18" s="5">
        <v>95</v>
      </c>
      <c r="N18" s="6">
        <v>0</v>
      </c>
      <c r="O18" s="15">
        <f>Sales[[#This Row],[Quantity]]*Sales[[#This Row],[Unit Price]]*(1-Sales[[#This Row],[Discount Rate]])</f>
        <v>2160</v>
      </c>
      <c r="P18" s="15">
        <f>Sales[[#This Row],[Unit Cost]]*Sales[[#This Row],[Quantity]]</f>
        <v>1140</v>
      </c>
      <c r="Q18" s="15">
        <f>Sales[[#This Row],[Revenue]]-Sales[[#This Row],[Product cost]]</f>
        <v>1020</v>
      </c>
      <c r="R18" s="21">
        <f>Sales[[#This Row],[Gross Profit]]/Sales[[#This Row],[Revenue]]</f>
        <v>0.47222222222222221</v>
      </c>
    </row>
    <row r="19" spans="1:18">
      <c r="A19" t="s">
        <v>191</v>
      </c>
      <c r="B19" s="4">
        <v>46093</v>
      </c>
      <c r="C19" t="s">
        <v>34</v>
      </c>
      <c r="D19" t="s">
        <v>35</v>
      </c>
      <c r="E19" t="s">
        <v>36</v>
      </c>
      <c r="F19" t="s">
        <v>178</v>
      </c>
      <c r="G19" t="s">
        <v>66</v>
      </c>
      <c r="H19" t="s">
        <v>67</v>
      </c>
      <c r="I19" t="s">
        <v>58</v>
      </c>
      <c r="J19" t="s">
        <v>151</v>
      </c>
      <c r="K19" s="17">
        <v>4</v>
      </c>
      <c r="L19" s="5">
        <v>617.5</v>
      </c>
      <c r="M19" s="5">
        <v>430</v>
      </c>
      <c r="N19" s="6">
        <v>0.15</v>
      </c>
      <c r="O19" s="15">
        <f>Sales[[#This Row],[Quantity]]*Sales[[#This Row],[Unit Price]]*(1-Sales[[#This Row],[Discount Rate]])</f>
        <v>2099.5</v>
      </c>
      <c r="P19" s="15">
        <f>Sales[[#This Row],[Unit Cost]]*Sales[[#This Row],[Quantity]]</f>
        <v>1720</v>
      </c>
      <c r="Q19" s="15">
        <f>Sales[[#This Row],[Revenue]]-Sales[[#This Row],[Product cost]]</f>
        <v>379.5</v>
      </c>
      <c r="R19" s="21">
        <f>Sales[[#This Row],[Gross Profit]]/Sales[[#This Row],[Revenue]]</f>
        <v>0.18075732317218385</v>
      </c>
    </row>
    <row r="20" spans="1:18">
      <c r="A20" t="s">
        <v>192</v>
      </c>
      <c r="B20" s="4">
        <v>46184</v>
      </c>
      <c r="C20" t="s">
        <v>34</v>
      </c>
      <c r="D20" t="s">
        <v>35</v>
      </c>
      <c r="E20" t="s">
        <v>36</v>
      </c>
      <c r="F20" t="s">
        <v>171</v>
      </c>
      <c r="G20" t="s">
        <v>130</v>
      </c>
      <c r="H20" t="s">
        <v>131</v>
      </c>
      <c r="I20" t="s">
        <v>58</v>
      </c>
      <c r="J20" t="s">
        <v>152</v>
      </c>
      <c r="K20" s="17">
        <v>3</v>
      </c>
      <c r="L20" s="5">
        <v>682.5</v>
      </c>
      <c r="M20" s="5">
        <v>430</v>
      </c>
      <c r="N20" s="6">
        <v>0</v>
      </c>
      <c r="O20" s="15">
        <f>Sales[[#This Row],[Quantity]]*Sales[[#This Row],[Unit Price]]*(1-Sales[[#This Row],[Discount Rate]])</f>
        <v>2047.5</v>
      </c>
      <c r="P20" s="15">
        <f>Sales[[#This Row],[Unit Cost]]*Sales[[#This Row],[Quantity]]</f>
        <v>1290</v>
      </c>
      <c r="Q20" s="15">
        <f>Sales[[#This Row],[Revenue]]-Sales[[#This Row],[Product cost]]</f>
        <v>757.5</v>
      </c>
      <c r="R20" s="21">
        <f>Sales[[#This Row],[Gross Profit]]/Sales[[#This Row],[Revenue]]</f>
        <v>0.36996336996336998</v>
      </c>
    </row>
    <row r="21" spans="1:18">
      <c r="A21" t="s">
        <v>193</v>
      </c>
      <c r="B21" s="4">
        <v>46157</v>
      </c>
      <c r="C21" t="s">
        <v>48</v>
      </c>
      <c r="D21" t="s">
        <v>49</v>
      </c>
      <c r="E21" t="s">
        <v>50</v>
      </c>
      <c r="F21" t="s">
        <v>173</v>
      </c>
      <c r="G21" t="s">
        <v>61</v>
      </c>
      <c r="H21" t="s">
        <v>62</v>
      </c>
      <c r="I21" t="s">
        <v>63</v>
      </c>
      <c r="J21" t="s">
        <v>152</v>
      </c>
      <c r="K21" s="17">
        <v>12</v>
      </c>
      <c r="L21" s="5">
        <v>170</v>
      </c>
      <c r="M21" s="5">
        <v>95</v>
      </c>
      <c r="N21" s="6">
        <v>0</v>
      </c>
      <c r="O21" s="15">
        <f>Sales[[#This Row],[Quantity]]*Sales[[#This Row],[Unit Price]]*(1-Sales[[#This Row],[Discount Rate]])</f>
        <v>2040</v>
      </c>
      <c r="P21" s="15">
        <f>Sales[[#This Row],[Unit Cost]]*Sales[[#This Row],[Quantity]]</f>
        <v>1140</v>
      </c>
      <c r="Q21" s="15">
        <f>Sales[[#This Row],[Revenue]]-Sales[[#This Row],[Product cost]]</f>
        <v>900</v>
      </c>
      <c r="R21" s="21">
        <f>Sales[[#This Row],[Gross Profit]]/Sales[[#This Row],[Revenue]]</f>
        <v>0.44117647058823528</v>
      </c>
    </row>
    <row r="22" spans="1:18">
      <c r="A22" t="s">
        <v>194</v>
      </c>
      <c r="B22" s="4">
        <v>46124</v>
      </c>
      <c r="C22" t="s">
        <v>34</v>
      </c>
      <c r="D22" t="s">
        <v>35</v>
      </c>
      <c r="E22" t="s">
        <v>36</v>
      </c>
      <c r="F22" t="s">
        <v>178</v>
      </c>
      <c r="G22" t="s">
        <v>94</v>
      </c>
      <c r="H22" t="s">
        <v>95</v>
      </c>
      <c r="I22" t="s">
        <v>58</v>
      </c>
      <c r="J22" t="s">
        <v>152</v>
      </c>
      <c r="K22" s="17">
        <v>3</v>
      </c>
      <c r="L22" s="5">
        <v>650</v>
      </c>
      <c r="M22" s="5">
        <f>_xlfn.XLOOKUP(C22, 'Product Reference'!$A$2:$A$9, 'Product Reference'!$D$2:$D$9, "Not Found")</f>
        <v>430</v>
      </c>
      <c r="N22" s="6">
        <v>0</v>
      </c>
      <c r="O22" s="15">
        <f>Sales[[#This Row],[Quantity]]*Sales[[#This Row],[Unit Price]]*(1-Sales[[#This Row],[Discount Rate]])</f>
        <v>1950</v>
      </c>
      <c r="P22" s="15">
        <f>Sales[[#This Row],[Unit Cost]]*Sales[[#This Row],[Quantity]]</f>
        <v>1290</v>
      </c>
      <c r="Q22" s="15">
        <f>Sales[[#This Row],[Revenue]]-Sales[[#This Row],[Product cost]]</f>
        <v>660</v>
      </c>
      <c r="R22" s="21">
        <f>Sales[[#This Row],[Gross Profit]]/Sales[[#This Row],[Revenue]]</f>
        <v>0.33846153846153848</v>
      </c>
    </row>
    <row r="23" spans="1:18">
      <c r="A23" t="s">
        <v>195</v>
      </c>
      <c r="B23" s="4">
        <v>46112</v>
      </c>
      <c r="C23" t="s">
        <v>34</v>
      </c>
      <c r="D23" t="s">
        <v>35</v>
      </c>
      <c r="E23" t="s">
        <v>36</v>
      </c>
      <c r="F23" t="s">
        <v>175</v>
      </c>
      <c r="G23" t="s">
        <v>124</v>
      </c>
      <c r="H23" t="s">
        <v>125</v>
      </c>
      <c r="I23" t="s">
        <v>58</v>
      </c>
      <c r="J23" t="s">
        <v>152</v>
      </c>
      <c r="K23" s="17">
        <v>3</v>
      </c>
      <c r="L23" s="5">
        <v>650</v>
      </c>
      <c r="M23" s="5">
        <v>430</v>
      </c>
      <c r="N23" s="6">
        <v>0</v>
      </c>
      <c r="O23" s="15">
        <f>Sales[[#This Row],[Quantity]]*Sales[[#This Row],[Unit Price]]*(1-Sales[[#This Row],[Discount Rate]])</f>
        <v>1950</v>
      </c>
      <c r="P23" s="15">
        <f>Sales[[#This Row],[Unit Cost]]*Sales[[#This Row],[Quantity]]</f>
        <v>1290</v>
      </c>
      <c r="Q23" s="15">
        <f>Sales[[#This Row],[Revenue]]-Sales[[#This Row],[Product cost]]</f>
        <v>660</v>
      </c>
      <c r="R23" s="21">
        <f>Sales[[#This Row],[Gross Profit]]/Sales[[#This Row],[Revenue]]</f>
        <v>0.33846153846153848</v>
      </c>
    </row>
    <row r="24" spans="1:18">
      <c r="A24" t="s">
        <v>196</v>
      </c>
      <c r="B24" s="4">
        <v>46086</v>
      </c>
      <c r="C24" t="s">
        <v>34</v>
      </c>
      <c r="D24" t="s">
        <v>35</v>
      </c>
      <c r="E24" t="s">
        <v>36</v>
      </c>
      <c r="F24" t="s">
        <v>175</v>
      </c>
      <c r="G24" t="s">
        <v>124</v>
      </c>
      <c r="H24" t="s">
        <v>125</v>
      </c>
      <c r="I24" t="s">
        <v>58</v>
      </c>
      <c r="J24" t="s">
        <v>151</v>
      </c>
      <c r="K24" s="17">
        <v>3</v>
      </c>
      <c r="L24" s="5">
        <v>650</v>
      </c>
      <c r="M24" s="5">
        <v>430</v>
      </c>
      <c r="N24" s="6">
        <v>0</v>
      </c>
      <c r="O24" s="15">
        <f>Sales[[#This Row],[Quantity]]*Sales[[#This Row],[Unit Price]]*(1-Sales[[#This Row],[Discount Rate]])</f>
        <v>1950</v>
      </c>
      <c r="P24" s="15">
        <f>Sales[[#This Row],[Unit Cost]]*Sales[[#This Row],[Quantity]]</f>
        <v>1290</v>
      </c>
      <c r="Q24" s="15">
        <f>Sales[[#This Row],[Revenue]]-Sales[[#This Row],[Product cost]]</f>
        <v>660</v>
      </c>
      <c r="R24" s="21">
        <f>Sales[[#This Row],[Gross Profit]]/Sales[[#This Row],[Revenue]]</f>
        <v>0.33846153846153848</v>
      </c>
    </row>
    <row r="25" spans="1:18">
      <c r="A25" t="s">
        <v>197</v>
      </c>
      <c r="B25" s="4">
        <v>46134</v>
      </c>
      <c r="C25" t="s">
        <v>34</v>
      </c>
      <c r="D25" t="s">
        <v>35</v>
      </c>
      <c r="E25" t="s">
        <v>36</v>
      </c>
      <c r="F25" t="s">
        <v>175</v>
      </c>
      <c r="G25" t="s">
        <v>130</v>
      </c>
      <c r="H25" t="s">
        <v>131</v>
      </c>
      <c r="I25" t="s">
        <v>58</v>
      </c>
      <c r="J25" t="s">
        <v>151</v>
      </c>
      <c r="K25" s="17">
        <v>3</v>
      </c>
      <c r="L25" s="5">
        <v>650</v>
      </c>
      <c r="M25" s="5">
        <v>430</v>
      </c>
      <c r="N25" s="6">
        <v>0</v>
      </c>
      <c r="O25" s="15">
        <f>Sales[[#This Row],[Quantity]]*Sales[[#This Row],[Unit Price]]*(1-Sales[[#This Row],[Discount Rate]])</f>
        <v>1950</v>
      </c>
      <c r="P25" s="15">
        <f>Sales[[#This Row],[Unit Cost]]*Sales[[#This Row],[Quantity]]</f>
        <v>1290</v>
      </c>
      <c r="Q25" s="15">
        <f>Sales[[#This Row],[Revenue]]-Sales[[#This Row],[Product cost]]</f>
        <v>660</v>
      </c>
      <c r="R25" s="21">
        <f>Sales[[#This Row],[Gross Profit]]/Sales[[#This Row],[Revenue]]</f>
        <v>0.33846153846153848</v>
      </c>
    </row>
    <row r="26" spans="1:18">
      <c r="A26" t="s">
        <v>198</v>
      </c>
      <c r="B26" s="4">
        <v>46128</v>
      </c>
      <c r="C26" t="s">
        <v>34</v>
      </c>
      <c r="D26" t="s">
        <v>35</v>
      </c>
      <c r="E26" t="s">
        <v>36</v>
      </c>
      <c r="F26" t="s">
        <v>171</v>
      </c>
      <c r="G26" t="s">
        <v>82</v>
      </c>
      <c r="H26" t="s">
        <v>83</v>
      </c>
      <c r="I26" t="s">
        <v>58</v>
      </c>
      <c r="J26" t="s">
        <v>153</v>
      </c>
      <c r="K26" s="17">
        <v>3</v>
      </c>
      <c r="L26" s="5">
        <v>682.5</v>
      </c>
      <c r="M26" s="5">
        <v>430</v>
      </c>
      <c r="N26" s="6">
        <v>0.05</v>
      </c>
      <c r="O26" s="15">
        <f>Sales[[#This Row],[Quantity]]*Sales[[#This Row],[Unit Price]]*(1-Sales[[#This Row],[Discount Rate]])</f>
        <v>1945.125</v>
      </c>
      <c r="P26" s="15">
        <f>Sales[[#This Row],[Unit Cost]]*Sales[[#This Row],[Quantity]]</f>
        <v>1290</v>
      </c>
      <c r="Q26" s="15">
        <f>Sales[[#This Row],[Revenue]]-Sales[[#This Row],[Product cost]]</f>
        <v>655.125</v>
      </c>
      <c r="R26" s="21">
        <f>Sales[[#This Row],[Gross Profit]]/Sales[[#This Row],[Revenue]]</f>
        <v>0.33680354732986312</v>
      </c>
    </row>
    <row r="27" spans="1:18">
      <c r="A27" t="s">
        <v>199</v>
      </c>
      <c r="B27" s="4">
        <v>46162</v>
      </c>
      <c r="C27" t="s">
        <v>34</v>
      </c>
      <c r="D27" t="s">
        <v>35</v>
      </c>
      <c r="E27" t="s">
        <v>36</v>
      </c>
      <c r="F27" t="s">
        <v>171</v>
      </c>
      <c r="G27" t="s">
        <v>134</v>
      </c>
      <c r="H27" t="s">
        <v>135</v>
      </c>
      <c r="I27" t="s">
        <v>63</v>
      </c>
      <c r="J27" t="s">
        <v>153</v>
      </c>
      <c r="K27" s="17">
        <v>3</v>
      </c>
      <c r="L27" s="5">
        <v>682.5</v>
      </c>
      <c r="M27" s="5">
        <v>430</v>
      </c>
      <c r="N27" s="6">
        <v>0.05</v>
      </c>
      <c r="O27" s="15">
        <f>Sales[[#This Row],[Quantity]]*Sales[[#This Row],[Unit Price]]*(1-Sales[[#This Row],[Discount Rate]])</f>
        <v>1945.125</v>
      </c>
      <c r="P27" s="15">
        <f>Sales[[#This Row],[Unit Cost]]*Sales[[#This Row],[Quantity]]</f>
        <v>1290</v>
      </c>
      <c r="Q27" s="15">
        <f>Sales[[#This Row],[Revenue]]-Sales[[#This Row],[Product cost]]</f>
        <v>655.125</v>
      </c>
      <c r="R27" s="21">
        <f>Sales[[#This Row],[Gross Profit]]/Sales[[#This Row],[Revenue]]</f>
        <v>0.33680354732986312</v>
      </c>
    </row>
    <row r="28" spans="1:18">
      <c r="A28" t="s">
        <v>200</v>
      </c>
      <c r="B28" s="4">
        <v>46179</v>
      </c>
      <c r="C28" t="s">
        <v>48</v>
      </c>
      <c r="D28" t="s">
        <v>49</v>
      </c>
      <c r="E28" t="s">
        <v>50</v>
      </c>
      <c r="F28" t="s">
        <v>173</v>
      </c>
      <c r="G28" t="s">
        <v>68</v>
      </c>
      <c r="H28" t="s">
        <v>69</v>
      </c>
      <c r="I28" t="s">
        <v>63</v>
      </c>
      <c r="J28" t="s">
        <v>152</v>
      </c>
      <c r="K28" s="17">
        <v>11</v>
      </c>
      <c r="L28" s="5">
        <v>170</v>
      </c>
      <c r="M28" s="5">
        <v>95</v>
      </c>
      <c r="N28" s="6">
        <v>0</v>
      </c>
      <c r="O28" s="15">
        <f>Sales[[#This Row],[Quantity]]*Sales[[#This Row],[Unit Price]]*(1-Sales[[#This Row],[Discount Rate]])</f>
        <v>1870</v>
      </c>
      <c r="P28" s="15">
        <f>Sales[[#This Row],[Unit Cost]]*Sales[[#This Row],[Quantity]]</f>
        <v>1045</v>
      </c>
      <c r="Q28" s="15">
        <f>Sales[[#This Row],[Revenue]]-Sales[[#This Row],[Product cost]]</f>
        <v>825</v>
      </c>
      <c r="R28" s="21">
        <f>Sales[[#This Row],[Gross Profit]]/Sales[[#This Row],[Revenue]]</f>
        <v>0.44117647058823528</v>
      </c>
    </row>
    <row r="29" spans="1:18">
      <c r="A29" t="s">
        <v>201</v>
      </c>
      <c r="B29" s="4">
        <v>46036</v>
      </c>
      <c r="C29" t="s">
        <v>48</v>
      </c>
      <c r="D29" t="s">
        <v>49</v>
      </c>
      <c r="E29" t="s">
        <v>50</v>
      </c>
      <c r="F29" t="s">
        <v>178</v>
      </c>
      <c r="G29" t="s">
        <v>98</v>
      </c>
      <c r="H29" t="s">
        <v>99</v>
      </c>
      <c r="I29" t="s">
        <v>63</v>
      </c>
      <c r="J29" t="s">
        <v>150</v>
      </c>
      <c r="K29" s="17">
        <v>11</v>
      </c>
      <c r="L29" s="5">
        <v>170</v>
      </c>
      <c r="M29" s="5">
        <v>95</v>
      </c>
      <c r="N29" s="6">
        <v>0</v>
      </c>
      <c r="O29" s="15">
        <f>Sales[[#This Row],[Quantity]]*Sales[[#This Row],[Unit Price]]*(1-Sales[[#This Row],[Discount Rate]])</f>
        <v>1870</v>
      </c>
      <c r="P29" s="15">
        <f>Sales[[#This Row],[Unit Cost]]*Sales[[#This Row],[Quantity]]</f>
        <v>1045</v>
      </c>
      <c r="Q29" s="15">
        <f>Sales[[#This Row],[Revenue]]-Sales[[#This Row],[Product cost]]</f>
        <v>825</v>
      </c>
      <c r="R29" s="21">
        <f>Sales[[#This Row],[Gross Profit]]/Sales[[#This Row],[Revenue]]</f>
        <v>0.44117647058823528</v>
      </c>
    </row>
    <row r="30" spans="1:18">
      <c r="A30" t="s">
        <v>202</v>
      </c>
      <c r="B30" s="4">
        <v>46149</v>
      </c>
      <c r="C30" t="s">
        <v>39</v>
      </c>
      <c r="D30" t="s">
        <v>40</v>
      </c>
      <c r="E30" t="s">
        <v>36</v>
      </c>
      <c r="F30" t="s">
        <v>171</v>
      </c>
      <c r="G30" t="s">
        <v>68</v>
      </c>
      <c r="H30" t="s">
        <v>69</v>
      </c>
      <c r="I30" t="s">
        <v>63</v>
      </c>
      <c r="J30" t="s">
        <v>150</v>
      </c>
      <c r="K30" s="17">
        <v>7</v>
      </c>
      <c r="L30" s="5">
        <v>260</v>
      </c>
      <c r="M30" s="5">
        <v>155</v>
      </c>
      <c r="N30" s="6">
        <v>0</v>
      </c>
      <c r="O30" s="15">
        <f>Sales[[#This Row],[Quantity]]*Sales[[#This Row],[Unit Price]]*(1-Sales[[#This Row],[Discount Rate]])</f>
        <v>1820</v>
      </c>
      <c r="P30" s="15">
        <f>Sales[[#This Row],[Unit Cost]]*Sales[[#This Row],[Quantity]]</f>
        <v>1085</v>
      </c>
      <c r="Q30" s="15">
        <f>Sales[[#This Row],[Revenue]]-Sales[[#This Row],[Product cost]]</f>
        <v>735</v>
      </c>
      <c r="R30" s="21">
        <f>Sales[[#This Row],[Gross Profit]]/Sales[[#This Row],[Revenue]]</f>
        <v>0.40384615384615385</v>
      </c>
    </row>
    <row r="31" spans="1:18">
      <c r="A31" t="s">
        <v>203</v>
      </c>
      <c r="B31" s="4">
        <v>46024</v>
      </c>
      <c r="C31" t="s">
        <v>48</v>
      </c>
      <c r="D31" t="s">
        <v>49</v>
      </c>
      <c r="E31" t="s">
        <v>50</v>
      </c>
      <c r="F31" t="s">
        <v>178</v>
      </c>
      <c r="G31" t="s">
        <v>68</v>
      </c>
      <c r="H31" t="s">
        <v>69</v>
      </c>
      <c r="I31" t="s">
        <v>63</v>
      </c>
      <c r="J31" t="s">
        <v>151</v>
      </c>
      <c r="K31" s="17">
        <v>11</v>
      </c>
      <c r="L31" s="5">
        <v>170</v>
      </c>
      <c r="M31" s="5">
        <v>95</v>
      </c>
      <c r="N31" s="6">
        <v>0.05</v>
      </c>
      <c r="O31" s="15">
        <f>Sales[[#This Row],[Quantity]]*Sales[[#This Row],[Unit Price]]*(1-Sales[[#This Row],[Discount Rate]])</f>
        <v>1776.5</v>
      </c>
      <c r="P31" s="15">
        <f>Sales[[#This Row],[Unit Cost]]*Sales[[#This Row],[Quantity]]</f>
        <v>1045</v>
      </c>
      <c r="Q31" s="15">
        <f>Sales[[#This Row],[Revenue]]-Sales[[#This Row],[Product cost]]</f>
        <v>731.5</v>
      </c>
      <c r="R31" s="21">
        <f>Sales[[#This Row],[Gross Profit]]/Sales[[#This Row],[Revenue]]</f>
        <v>0.41176470588235292</v>
      </c>
    </row>
    <row r="32" spans="1:18">
      <c r="A32" t="s">
        <v>204</v>
      </c>
      <c r="B32" s="4">
        <v>46139</v>
      </c>
      <c r="C32" t="s">
        <v>39</v>
      </c>
      <c r="D32" t="s">
        <v>40</v>
      </c>
      <c r="E32" t="s">
        <v>36</v>
      </c>
      <c r="F32" t="s">
        <v>175</v>
      </c>
      <c r="G32" t="s">
        <v>110</v>
      </c>
      <c r="H32" t="s">
        <v>111</v>
      </c>
      <c r="I32" t="s">
        <v>63</v>
      </c>
      <c r="J32" t="s">
        <v>151</v>
      </c>
      <c r="K32" s="17">
        <v>8</v>
      </c>
      <c r="L32" s="5">
        <v>260</v>
      </c>
      <c r="M32" s="5">
        <v>155</v>
      </c>
      <c r="N32" s="6">
        <v>0.15</v>
      </c>
      <c r="O32" s="15">
        <f>Sales[[#This Row],[Quantity]]*Sales[[#This Row],[Unit Price]]*(1-Sales[[#This Row],[Discount Rate]])</f>
        <v>1768</v>
      </c>
      <c r="P32" s="15">
        <f>Sales[[#This Row],[Unit Cost]]*Sales[[#This Row],[Quantity]]</f>
        <v>1240</v>
      </c>
      <c r="Q32" s="15">
        <f>Sales[[#This Row],[Revenue]]-Sales[[#This Row],[Product cost]]</f>
        <v>528</v>
      </c>
      <c r="R32" s="21">
        <f>Sales[[#This Row],[Gross Profit]]/Sales[[#This Row],[Revenue]]</f>
        <v>0.29864253393665158</v>
      </c>
    </row>
    <row r="33" spans="1:18">
      <c r="A33" t="s">
        <v>205</v>
      </c>
      <c r="B33" s="4">
        <v>46105</v>
      </c>
      <c r="C33" t="s">
        <v>34</v>
      </c>
      <c r="D33" t="s">
        <v>35</v>
      </c>
      <c r="E33" t="s">
        <v>36</v>
      </c>
      <c r="F33" t="s">
        <v>175</v>
      </c>
      <c r="G33" t="s">
        <v>114</v>
      </c>
      <c r="H33" t="s">
        <v>115</v>
      </c>
      <c r="I33" t="s">
        <v>58</v>
      </c>
      <c r="J33" t="s">
        <v>150</v>
      </c>
      <c r="K33" s="17">
        <v>3</v>
      </c>
      <c r="L33" s="5">
        <v>682.5</v>
      </c>
      <c r="M33" s="5">
        <v>430</v>
      </c>
      <c r="N33" s="6">
        <v>0.15</v>
      </c>
      <c r="O33" s="15">
        <f>Sales[[#This Row],[Quantity]]*Sales[[#This Row],[Unit Price]]*(1-Sales[[#This Row],[Discount Rate]])</f>
        <v>1740.375</v>
      </c>
      <c r="P33" s="15">
        <f>Sales[[#This Row],[Unit Cost]]*Sales[[#This Row],[Quantity]]</f>
        <v>1290</v>
      </c>
      <c r="Q33" s="15">
        <f>Sales[[#This Row],[Revenue]]-Sales[[#This Row],[Product cost]]</f>
        <v>450.375</v>
      </c>
      <c r="R33" s="21">
        <f>Sales[[#This Row],[Gross Profit]]/Sales[[#This Row],[Revenue]]</f>
        <v>0.25878043525102351</v>
      </c>
    </row>
    <row r="34" spans="1:18">
      <c r="A34" t="s">
        <v>206</v>
      </c>
      <c r="B34" s="4">
        <v>46197</v>
      </c>
      <c r="C34" t="s">
        <v>39</v>
      </c>
      <c r="D34" t="s">
        <v>40</v>
      </c>
      <c r="E34" t="s">
        <v>36</v>
      </c>
      <c r="F34" t="s">
        <v>173</v>
      </c>
      <c r="G34" t="s">
        <v>128</v>
      </c>
      <c r="H34" t="s">
        <v>129</v>
      </c>
      <c r="I34" t="s">
        <v>63</v>
      </c>
      <c r="J34" t="s">
        <v>150</v>
      </c>
      <c r="K34" s="17">
        <v>7</v>
      </c>
      <c r="L34" s="5">
        <v>247</v>
      </c>
      <c r="M34" s="5">
        <v>155</v>
      </c>
      <c r="N34" s="6">
        <v>0</v>
      </c>
      <c r="O34" s="15">
        <f>Sales[[#This Row],[Quantity]]*Sales[[#This Row],[Unit Price]]*(1-Sales[[#This Row],[Discount Rate]])</f>
        <v>1729</v>
      </c>
      <c r="P34" s="15">
        <f>Sales[[#This Row],[Unit Cost]]*Sales[[#This Row],[Quantity]]</f>
        <v>1085</v>
      </c>
      <c r="Q34" s="15">
        <f>Sales[[#This Row],[Revenue]]-Sales[[#This Row],[Product cost]]</f>
        <v>644</v>
      </c>
      <c r="R34" s="21">
        <f>Sales[[#This Row],[Gross Profit]]/Sales[[#This Row],[Revenue]]</f>
        <v>0.37246963562753038</v>
      </c>
    </row>
    <row r="35" spans="1:18">
      <c r="A35" t="s">
        <v>207</v>
      </c>
      <c r="B35" s="4">
        <v>46039</v>
      </c>
      <c r="C35" t="s">
        <v>37</v>
      </c>
      <c r="D35" t="s">
        <v>38</v>
      </c>
      <c r="E35" t="s">
        <v>36</v>
      </c>
      <c r="F35" t="s">
        <v>178</v>
      </c>
      <c r="G35" t="s">
        <v>134</v>
      </c>
      <c r="H35" t="s">
        <v>135</v>
      </c>
      <c r="I35" t="s">
        <v>63</v>
      </c>
      <c r="J35" t="s">
        <v>151</v>
      </c>
      <c r="K35" s="17">
        <v>9</v>
      </c>
      <c r="L35" s="5">
        <v>189</v>
      </c>
      <c r="M35" s="5">
        <v>95</v>
      </c>
      <c r="N35" s="6">
        <v>0</v>
      </c>
      <c r="O35" s="15">
        <f>Sales[[#This Row],[Quantity]]*Sales[[#This Row],[Unit Price]]*(1-Sales[[#This Row],[Discount Rate]])</f>
        <v>1701</v>
      </c>
      <c r="P35" s="15">
        <f>Sales[[#This Row],[Unit Cost]]*Sales[[#This Row],[Quantity]]</f>
        <v>855</v>
      </c>
      <c r="Q35" s="15">
        <f>Sales[[#This Row],[Revenue]]-Sales[[#This Row],[Product cost]]</f>
        <v>846</v>
      </c>
      <c r="R35" s="21">
        <f>Sales[[#This Row],[Gross Profit]]/Sales[[#This Row],[Revenue]]</f>
        <v>0.49735449735449733</v>
      </c>
    </row>
    <row r="36" spans="1:18">
      <c r="A36" t="s">
        <v>208</v>
      </c>
      <c r="B36" s="4">
        <v>46040</v>
      </c>
      <c r="C36" t="s">
        <v>34</v>
      </c>
      <c r="D36" t="s">
        <v>35</v>
      </c>
      <c r="E36" t="s">
        <v>36</v>
      </c>
      <c r="F36" t="s">
        <v>175</v>
      </c>
      <c r="G36" t="s">
        <v>56</v>
      </c>
      <c r="H36" t="s">
        <v>57</v>
      </c>
      <c r="I36" t="s">
        <v>58</v>
      </c>
      <c r="J36" t="s">
        <v>153</v>
      </c>
      <c r="K36" s="17">
        <v>3</v>
      </c>
      <c r="L36" s="5">
        <v>617.5</v>
      </c>
      <c r="M36" s="5">
        <v>430</v>
      </c>
      <c r="N36" s="6">
        <v>0.1</v>
      </c>
      <c r="O36" s="15">
        <f>Sales[[#This Row],[Quantity]]*Sales[[#This Row],[Unit Price]]*(1-Sales[[#This Row],[Discount Rate]])</f>
        <v>1667.25</v>
      </c>
      <c r="P36" s="15">
        <f>Sales[[#This Row],[Unit Cost]]*Sales[[#This Row],[Quantity]]</f>
        <v>1290</v>
      </c>
      <c r="Q36" s="15">
        <f>Sales[[#This Row],[Revenue]]-Sales[[#This Row],[Product cost]]</f>
        <v>377.25</v>
      </c>
      <c r="R36" s="21">
        <f>Sales[[#This Row],[Gross Profit]]/Sales[[#This Row],[Revenue]]</f>
        <v>0.22627080521817364</v>
      </c>
    </row>
    <row r="37" spans="1:18">
      <c r="A37" t="s">
        <v>209</v>
      </c>
      <c r="B37" s="4">
        <v>46049</v>
      </c>
      <c r="C37" t="s">
        <v>34</v>
      </c>
      <c r="D37" t="s">
        <v>35</v>
      </c>
      <c r="E37" t="s">
        <v>36</v>
      </c>
      <c r="F37" t="s">
        <v>173</v>
      </c>
      <c r="G37" t="s">
        <v>136</v>
      </c>
      <c r="H37" t="s">
        <v>137</v>
      </c>
      <c r="I37" t="s">
        <v>58</v>
      </c>
      <c r="J37" t="s">
        <v>152</v>
      </c>
      <c r="K37" s="17">
        <v>3</v>
      </c>
      <c r="L37" s="5">
        <v>650</v>
      </c>
      <c r="M37" s="5">
        <v>430</v>
      </c>
      <c r="N37" s="6">
        <v>0.15</v>
      </c>
      <c r="O37" s="15">
        <f>Sales[[#This Row],[Quantity]]*Sales[[#This Row],[Unit Price]]*(1-Sales[[#This Row],[Discount Rate]])</f>
        <v>1657.5</v>
      </c>
      <c r="P37" s="15">
        <f>Sales[[#This Row],[Unit Cost]]*Sales[[#This Row],[Quantity]]</f>
        <v>1290</v>
      </c>
      <c r="Q37" s="15">
        <f>Sales[[#This Row],[Revenue]]-Sales[[#This Row],[Product cost]]</f>
        <v>367.5</v>
      </c>
      <c r="R37" s="21">
        <f>Sales[[#This Row],[Gross Profit]]/Sales[[#This Row],[Revenue]]</f>
        <v>0.22171945701357465</v>
      </c>
    </row>
    <row r="38" spans="1:18">
      <c r="A38" t="s">
        <v>210</v>
      </c>
      <c r="B38" s="4">
        <v>46148</v>
      </c>
      <c r="C38" t="s">
        <v>48</v>
      </c>
      <c r="D38" t="s">
        <v>49</v>
      </c>
      <c r="E38" t="s">
        <v>50</v>
      </c>
      <c r="F38" t="s">
        <v>171</v>
      </c>
      <c r="G38" t="s">
        <v>86</v>
      </c>
      <c r="H38" t="s">
        <v>87</v>
      </c>
      <c r="I38" t="s">
        <v>63</v>
      </c>
      <c r="J38" t="s">
        <v>152</v>
      </c>
      <c r="K38" s="17">
        <v>10</v>
      </c>
      <c r="L38" s="5">
        <v>170</v>
      </c>
      <c r="M38" s="5">
        <v>95</v>
      </c>
      <c r="N38" s="6">
        <v>0.05</v>
      </c>
      <c r="O38" s="15">
        <f>Sales[[#This Row],[Quantity]]*Sales[[#This Row],[Unit Price]]*(1-Sales[[#This Row],[Discount Rate]])</f>
        <v>1615</v>
      </c>
      <c r="P38" s="15">
        <f>Sales[[#This Row],[Unit Cost]]*Sales[[#This Row],[Quantity]]</f>
        <v>950</v>
      </c>
      <c r="Q38" s="15">
        <f>Sales[[#This Row],[Revenue]]-Sales[[#This Row],[Product cost]]</f>
        <v>665</v>
      </c>
      <c r="R38" s="21">
        <f>Sales[[#This Row],[Gross Profit]]/Sales[[#This Row],[Revenue]]</f>
        <v>0.41176470588235292</v>
      </c>
    </row>
    <row r="39" spans="1:18">
      <c r="A39" t="s">
        <v>211</v>
      </c>
      <c r="B39" s="4">
        <v>46077</v>
      </c>
      <c r="C39" t="s">
        <v>48</v>
      </c>
      <c r="D39" t="s">
        <v>49</v>
      </c>
      <c r="E39" t="s">
        <v>50</v>
      </c>
      <c r="F39" t="s">
        <v>171</v>
      </c>
      <c r="G39" t="s">
        <v>92</v>
      </c>
      <c r="H39" t="s">
        <v>93</v>
      </c>
      <c r="I39" t="s">
        <v>63</v>
      </c>
      <c r="J39" t="s">
        <v>153</v>
      </c>
      <c r="K39" s="17">
        <v>11</v>
      </c>
      <c r="L39" s="5">
        <v>170</v>
      </c>
      <c r="M39" s="5">
        <v>95</v>
      </c>
      <c r="N39" s="6">
        <v>0.15</v>
      </c>
      <c r="O39" s="15">
        <f>Sales[[#This Row],[Quantity]]*Sales[[#This Row],[Unit Price]]*(1-Sales[[#This Row],[Discount Rate]])</f>
        <v>1589.5</v>
      </c>
      <c r="P39" s="15">
        <f>Sales[[#This Row],[Unit Cost]]*Sales[[#This Row],[Quantity]]</f>
        <v>1045</v>
      </c>
      <c r="Q39" s="15">
        <f>Sales[[#This Row],[Revenue]]-Sales[[#This Row],[Product cost]]</f>
        <v>544.5</v>
      </c>
      <c r="R39" s="21">
        <f>Sales[[#This Row],[Gross Profit]]/Sales[[#This Row],[Revenue]]</f>
        <v>0.34256055363321797</v>
      </c>
    </row>
    <row r="40" spans="1:18">
      <c r="A40" t="s">
        <v>212</v>
      </c>
      <c r="B40" s="4">
        <v>46099</v>
      </c>
      <c r="C40" t="s">
        <v>37</v>
      </c>
      <c r="D40" t="s">
        <v>38</v>
      </c>
      <c r="E40" t="s">
        <v>36</v>
      </c>
      <c r="F40" t="s">
        <v>178</v>
      </c>
      <c r="G40" t="s">
        <v>134</v>
      </c>
      <c r="H40" t="s">
        <v>135</v>
      </c>
      <c r="I40" t="s">
        <v>63</v>
      </c>
      <c r="J40" t="s">
        <v>152</v>
      </c>
      <c r="K40" s="17">
        <v>9</v>
      </c>
      <c r="L40" s="5">
        <v>180</v>
      </c>
      <c r="M40" s="5">
        <v>95</v>
      </c>
      <c r="N40" s="6">
        <v>0.05</v>
      </c>
      <c r="O40" s="15">
        <f>Sales[[#This Row],[Quantity]]*Sales[[#This Row],[Unit Price]]*(1-Sales[[#This Row],[Discount Rate]])</f>
        <v>1539</v>
      </c>
      <c r="P40" s="15">
        <f>Sales[[#This Row],[Unit Cost]]*Sales[[#This Row],[Quantity]]</f>
        <v>855</v>
      </c>
      <c r="Q40" s="15">
        <f>Sales[[#This Row],[Revenue]]-Sales[[#This Row],[Product cost]]</f>
        <v>684</v>
      </c>
      <c r="R40" s="21">
        <f>Sales[[#This Row],[Gross Profit]]/Sales[[#This Row],[Revenue]]</f>
        <v>0.44444444444444442</v>
      </c>
    </row>
    <row r="41" spans="1:18">
      <c r="A41" t="s">
        <v>213</v>
      </c>
      <c r="B41" s="4">
        <v>46175</v>
      </c>
      <c r="C41" t="s">
        <v>48</v>
      </c>
      <c r="D41" t="s">
        <v>49</v>
      </c>
      <c r="E41" t="s">
        <v>50</v>
      </c>
      <c r="F41" t="s">
        <v>173</v>
      </c>
      <c r="G41" t="s">
        <v>122</v>
      </c>
      <c r="H41" t="s">
        <v>123</v>
      </c>
      <c r="I41" t="s">
        <v>63</v>
      </c>
      <c r="J41" t="s">
        <v>153</v>
      </c>
      <c r="K41" s="17">
        <v>9</v>
      </c>
      <c r="L41" s="5">
        <v>170</v>
      </c>
      <c r="M41" s="5">
        <v>95</v>
      </c>
      <c r="N41" s="6">
        <v>0</v>
      </c>
      <c r="O41" s="15">
        <f>Sales[[#This Row],[Quantity]]*Sales[[#This Row],[Unit Price]]*(1-Sales[[#This Row],[Discount Rate]])</f>
        <v>1530</v>
      </c>
      <c r="P41" s="15">
        <f>Sales[[#This Row],[Unit Cost]]*Sales[[#This Row],[Quantity]]</f>
        <v>855</v>
      </c>
      <c r="Q41" s="15">
        <f>Sales[[#This Row],[Revenue]]-Sales[[#This Row],[Product cost]]</f>
        <v>675</v>
      </c>
      <c r="R41" s="21">
        <f>Sales[[#This Row],[Gross Profit]]/Sales[[#This Row],[Revenue]]</f>
        <v>0.44117647058823528</v>
      </c>
    </row>
    <row r="42" spans="1:18">
      <c r="A42" t="s">
        <v>214</v>
      </c>
      <c r="B42" s="4">
        <v>46165</v>
      </c>
      <c r="C42" t="s">
        <v>48</v>
      </c>
      <c r="D42" t="s">
        <v>49</v>
      </c>
      <c r="E42" t="s">
        <v>50</v>
      </c>
      <c r="F42" t="s">
        <v>173</v>
      </c>
      <c r="G42" t="s">
        <v>110</v>
      </c>
      <c r="H42" t="s">
        <v>111</v>
      </c>
      <c r="I42" t="s">
        <v>63</v>
      </c>
      <c r="J42" t="s">
        <v>150</v>
      </c>
      <c r="K42" s="17">
        <v>9</v>
      </c>
      <c r="L42" s="5">
        <v>170</v>
      </c>
      <c r="M42" s="5">
        <v>95</v>
      </c>
      <c r="N42" s="6">
        <v>0</v>
      </c>
      <c r="O42" s="15">
        <f>Sales[[#This Row],[Quantity]]*Sales[[#This Row],[Unit Price]]*(1-Sales[[#This Row],[Discount Rate]])</f>
        <v>1530</v>
      </c>
      <c r="P42" s="15">
        <f>Sales[[#This Row],[Unit Cost]]*Sales[[#This Row],[Quantity]]</f>
        <v>855</v>
      </c>
      <c r="Q42" s="15">
        <f>Sales[[#This Row],[Revenue]]-Sales[[#This Row],[Product cost]]</f>
        <v>675</v>
      </c>
      <c r="R42" s="21">
        <f>Sales[[#This Row],[Gross Profit]]/Sales[[#This Row],[Revenue]]</f>
        <v>0.44117647058823528</v>
      </c>
    </row>
    <row r="43" spans="1:18">
      <c r="A43" t="s">
        <v>215</v>
      </c>
      <c r="B43" s="4">
        <v>46074</v>
      </c>
      <c r="C43" t="s">
        <v>48</v>
      </c>
      <c r="D43" t="s">
        <v>49</v>
      </c>
      <c r="E43" t="s">
        <v>50</v>
      </c>
      <c r="F43" t="s">
        <v>178</v>
      </c>
      <c r="G43" t="s">
        <v>116</v>
      </c>
      <c r="H43" t="s">
        <v>117</v>
      </c>
      <c r="I43" t="s">
        <v>63</v>
      </c>
      <c r="J43" t="s">
        <v>150</v>
      </c>
      <c r="K43" s="17">
        <v>10</v>
      </c>
      <c r="L43" s="5">
        <v>170</v>
      </c>
      <c r="M43" s="5">
        <v>95</v>
      </c>
      <c r="N43" s="6">
        <v>0.1</v>
      </c>
      <c r="O43" s="15">
        <f>Sales[[#This Row],[Quantity]]*Sales[[#This Row],[Unit Price]]*(1-Sales[[#This Row],[Discount Rate]])</f>
        <v>1530</v>
      </c>
      <c r="P43" s="15">
        <f>Sales[[#This Row],[Unit Cost]]*Sales[[#This Row],[Quantity]]</f>
        <v>950</v>
      </c>
      <c r="Q43" s="15">
        <f>Sales[[#This Row],[Revenue]]-Sales[[#This Row],[Product cost]]</f>
        <v>580</v>
      </c>
      <c r="R43" s="21">
        <f>Sales[[#This Row],[Gross Profit]]/Sales[[#This Row],[Revenue]]</f>
        <v>0.37908496732026142</v>
      </c>
    </row>
    <row r="44" spans="1:18">
      <c r="A44" t="s">
        <v>216</v>
      </c>
      <c r="B44" s="4">
        <v>46147</v>
      </c>
      <c r="C44" t="s">
        <v>37</v>
      </c>
      <c r="D44" t="s">
        <v>38</v>
      </c>
      <c r="E44" t="s">
        <v>36</v>
      </c>
      <c r="F44" t="s">
        <v>173</v>
      </c>
      <c r="G44" t="s">
        <v>122</v>
      </c>
      <c r="H44" t="s">
        <v>123</v>
      </c>
      <c r="I44" t="s">
        <v>63</v>
      </c>
      <c r="J44" t="s">
        <v>152</v>
      </c>
      <c r="K44" s="17">
        <v>8</v>
      </c>
      <c r="L44" s="5">
        <v>189</v>
      </c>
      <c r="M44" s="5">
        <v>95</v>
      </c>
      <c r="N44" s="6">
        <v>0</v>
      </c>
      <c r="O44" s="15">
        <f>Sales[[#This Row],[Quantity]]*Sales[[#This Row],[Unit Price]]*(1-Sales[[#This Row],[Discount Rate]])</f>
        <v>1512</v>
      </c>
      <c r="P44" s="15">
        <f>Sales[[#This Row],[Unit Cost]]*Sales[[#This Row],[Quantity]]</f>
        <v>760</v>
      </c>
      <c r="Q44" s="15">
        <f>Sales[[#This Row],[Revenue]]-Sales[[#This Row],[Product cost]]</f>
        <v>752</v>
      </c>
      <c r="R44" s="21">
        <f>Sales[[#This Row],[Gross Profit]]/Sales[[#This Row],[Revenue]]</f>
        <v>0.49735449735449733</v>
      </c>
    </row>
    <row r="45" spans="1:18">
      <c r="A45" t="s">
        <v>217</v>
      </c>
      <c r="B45" s="4">
        <v>46130</v>
      </c>
      <c r="C45" t="s">
        <v>48</v>
      </c>
      <c r="D45" t="s">
        <v>49</v>
      </c>
      <c r="E45" t="s">
        <v>50</v>
      </c>
      <c r="F45" t="s">
        <v>173</v>
      </c>
      <c r="G45" t="s">
        <v>110</v>
      </c>
      <c r="H45" t="s">
        <v>111</v>
      </c>
      <c r="I45" t="s">
        <v>63</v>
      </c>
      <c r="J45" t="s">
        <v>152</v>
      </c>
      <c r="K45" s="17">
        <v>9</v>
      </c>
      <c r="L45" s="5">
        <v>170</v>
      </c>
      <c r="M45" s="5">
        <v>95</v>
      </c>
      <c r="N45" s="6">
        <v>0.05</v>
      </c>
      <c r="O45" s="15">
        <f>Sales[[#This Row],[Quantity]]*Sales[[#This Row],[Unit Price]]*(1-Sales[[#This Row],[Discount Rate]])</f>
        <v>1453.5</v>
      </c>
      <c r="P45" s="15">
        <f>Sales[[#This Row],[Unit Cost]]*Sales[[#This Row],[Quantity]]</f>
        <v>855</v>
      </c>
      <c r="Q45" s="15">
        <f>Sales[[#This Row],[Revenue]]-Sales[[#This Row],[Product cost]]</f>
        <v>598.5</v>
      </c>
      <c r="R45" s="21">
        <f>Sales[[#This Row],[Gross Profit]]/Sales[[#This Row],[Revenue]]</f>
        <v>0.41176470588235292</v>
      </c>
    </row>
    <row r="46" spans="1:18">
      <c r="A46" t="s">
        <v>218</v>
      </c>
      <c r="B46" s="4">
        <v>46097</v>
      </c>
      <c r="C46" t="s">
        <v>51</v>
      </c>
      <c r="D46" t="s">
        <v>52</v>
      </c>
      <c r="E46" t="s">
        <v>50</v>
      </c>
      <c r="F46" t="s">
        <v>175</v>
      </c>
      <c r="G46" t="s">
        <v>110</v>
      </c>
      <c r="H46" t="s">
        <v>111</v>
      </c>
      <c r="I46" t="s">
        <v>63</v>
      </c>
      <c r="J46" t="s">
        <v>150</v>
      </c>
      <c r="K46" s="17">
        <v>11</v>
      </c>
      <c r="L46" s="5">
        <v>130</v>
      </c>
      <c r="M46" s="5">
        <v>65</v>
      </c>
      <c r="N46" s="6">
        <v>0</v>
      </c>
      <c r="O46" s="15">
        <f>Sales[[#This Row],[Quantity]]*Sales[[#This Row],[Unit Price]]*(1-Sales[[#This Row],[Discount Rate]])</f>
        <v>1430</v>
      </c>
      <c r="P46" s="15">
        <f>Sales[[#This Row],[Unit Cost]]*Sales[[#This Row],[Quantity]]</f>
        <v>715</v>
      </c>
      <c r="Q46" s="15">
        <f>Sales[[#This Row],[Revenue]]-Sales[[#This Row],[Product cost]]</f>
        <v>715</v>
      </c>
      <c r="R46" s="21">
        <f>Sales[[#This Row],[Gross Profit]]/Sales[[#This Row],[Revenue]]</f>
        <v>0.5</v>
      </c>
    </row>
    <row r="47" spans="1:18">
      <c r="A47" t="s">
        <v>219</v>
      </c>
      <c r="B47" s="4">
        <v>46104</v>
      </c>
      <c r="C47" t="s">
        <v>34</v>
      </c>
      <c r="D47" t="s">
        <v>35</v>
      </c>
      <c r="E47" t="s">
        <v>36</v>
      </c>
      <c r="F47" t="s">
        <v>178</v>
      </c>
      <c r="G47" t="s">
        <v>88</v>
      </c>
      <c r="H47" t="s">
        <v>89</v>
      </c>
      <c r="I47" t="s">
        <v>58</v>
      </c>
      <c r="J47" t="s">
        <v>153</v>
      </c>
      <c r="K47" s="17">
        <v>2</v>
      </c>
      <c r="L47" s="5">
        <v>682.5</v>
      </c>
      <c r="M47" s="5">
        <v>430</v>
      </c>
      <c r="N47" s="6">
        <v>0</v>
      </c>
      <c r="O47" s="15">
        <f>Sales[[#This Row],[Quantity]]*Sales[[#This Row],[Unit Price]]*(1-Sales[[#This Row],[Discount Rate]])</f>
        <v>1365</v>
      </c>
      <c r="P47" s="15">
        <f>Sales[[#This Row],[Unit Cost]]*Sales[[#This Row],[Quantity]]</f>
        <v>860</v>
      </c>
      <c r="Q47" s="15">
        <f>Sales[[#This Row],[Revenue]]-Sales[[#This Row],[Product cost]]</f>
        <v>505</v>
      </c>
      <c r="R47" s="21">
        <f>Sales[[#This Row],[Gross Profit]]/Sales[[#This Row],[Revenue]]</f>
        <v>0.36996336996336998</v>
      </c>
    </row>
    <row r="48" spans="1:18">
      <c r="A48" t="s">
        <v>220</v>
      </c>
      <c r="B48" s="4">
        <v>46038</v>
      </c>
      <c r="C48" t="s">
        <v>34</v>
      </c>
      <c r="D48" t="s">
        <v>35</v>
      </c>
      <c r="E48" t="s">
        <v>36</v>
      </c>
      <c r="F48" t="s">
        <v>171</v>
      </c>
      <c r="G48" t="s">
        <v>94</v>
      </c>
      <c r="H48" t="s">
        <v>95</v>
      </c>
      <c r="I48" t="s">
        <v>58</v>
      </c>
      <c r="J48" t="s">
        <v>150</v>
      </c>
      <c r="K48" s="17">
        <v>2</v>
      </c>
      <c r="L48" s="5">
        <v>682.5</v>
      </c>
      <c r="M48" s="5">
        <v>430</v>
      </c>
      <c r="N48" s="6">
        <v>0</v>
      </c>
      <c r="O48" s="15">
        <f>Sales[[#This Row],[Quantity]]*Sales[[#This Row],[Unit Price]]*(1-Sales[[#This Row],[Discount Rate]])</f>
        <v>1365</v>
      </c>
      <c r="P48" s="15">
        <f>Sales[[#This Row],[Unit Cost]]*Sales[[#This Row],[Quantity]]</f>
        <v>860</v>
      </c>
      <c r="Q48" s="15">
        <f>Sales[[#This Row],[Revenue]]-Sales[[#This Row],[Product cost]]</f>
        <v>505</v>
      </c>
      <c r="R48" s="21">
        <f>Sales[[#This Row],[Gross Profit]]/Sales[[#This Row],[Revenue]]</f>
        <v>0.36996336996336998</v>
      </c>
    </row>
    <row r="49" spans="1:18">
      <c r="A49" t="s">
        <v>221</v>
      </c>
      <c r="B49" s="4">
        <v>46134</v>
      </c>
      <c r="C49" t="s">
        <v>39</v>
      </c>
      <c r="D49" t="s">
        <v>40</v>
      </c>
      <c r="E49" t="s">
        <v>36</v>
      </c>
      <c r="F49" t="s">
        <v>171</v>
      </c>
      <c r="G49" t="s">
        <v>68</v>
      </c>
      <c r="H49" t="s">
        <v>69</v>
      </c>
      <c r="I49" t="s">
        <v>63</v>
      </c>
      <c r="J49" t="s">
        <v>152</v>
      </c>
      <c r="K49" s="17">
        <v>5</v>
      </c>
      <c r="L49" s="5">
        <v>273</v>
      </c>
      <c r="M49" s="5">
        <v>155</v>
      </c>
      <c r="N49" s="6">
        <v>0</v>
      </c>
      <c r="O49" s="15">
        <f>Sales[[#This Row],[Quantity]]*Sales[[#This Row],[Unit Price]]*(1-Sales[[#This Row],[Discount Rate]])</f>
        <v>1365</v>
      </c>
      <c r="P49" s="15">
        <f>Sales[[#This Row],[Unit Cost]]*Sales[[#This Row],[Quantity]]</f>
        <v>775</v>
      </c>
      <c r="Q49" s="15">
        <f>Sales[[#This Row],[Revenue]]-Sales[[#This Row],[Product cost]]</f>
        <v>590</v>
      </c>
      <c r="R49" s="21">
        <f>Sales[[#This Row],[Gross Profit]]/Sales[[#This Row],[Revenue]]</f>
        <v>0.43223443223443225</v>
      </c>
    </row>
    <row r="50" spans="1:18">
      <c r="A50" t="s">
        <v>222</v>
      </c>
      <c r="B50" s="4">
        <v>46178</v>
      </c>
      <c r="C50" t="s">
        <v>34</v>
      </c>
      <c r="D50" t="s">
        <v>35</v>
      </c>
      <c r="E50" t="s">
        <v>36</v>
      </c>
      <c r="F50" t="s">
        <v>173</v>
      </c>
      <c r="G50" t="s">
        <v>100</v>
      </c>
      <c r="H50" t="s">
        <v>101</v>
      </c>
      <c r="I50" t="s">
        <v>58</v>
      </c>
      <c r="J50" t="s">
        <v>153</v>
      </c>
      <c r="K50" s="17">
        <v>2</v>
      </c>
      <c r="L50" s="5">
        <v>682.5</v>
      </c>
      <c r="M50" s="5">
        <v>430</v>
      </c>
      <c r="N50" s="6">
        <v>0</v>
      </c>
      <c r="O50" s="15">
        <f>Sales[[#This Row],[Quantity]]*Sales[[#This Row],[Unit Price]]*(1-Sales[[#This Row],[Discount Rate]])</f>
        <v>1365</v>
      </c>
      <c r="P50" s="15">
        <f>Sales[[#This Row],[Unit Cost]]*Sales[[#This Row],[Quantity]]</f>
        <v>860</v>
      </c>
      <c r="Q50" s="15">
        <f>Sales[[#This Row],[Revenue]]-Sales[[#This Row],[Product cost]]</f>
        <v>505</v>
      </c>
      <c r="R50" s="21">
        <f>Sales[[#This Row],[Gross Profit]]/Sales[[#This Row],[Revenue]]</f>
        <v>0.36996336996336998</v>
      </c>
    </row>
    <row r="51" spans="1:18">
      <c r="A51" t="s">
        <v>223</v>
      </c>
      <c r="B51" s="4">
        <v>46027</v>
      </c>
      <c r="C51" t="s">
        <v>51</v>
      </c>
      <c r="D51" t="s">
        <v>52</v>
      </c>
      <c r="E51" t="s">
        <v>50</v>
      </c>
      <c r="F51" t="s">
        <v>171</v>
      </c>
      <c r="G51" t="s">
        <v>92</v>
      </c>
      <c r="H51" t="s">
        <v>93</v>
      </c>
      <c r="I51" t="s">
        <v>63</v>
      </c>
      <c r="J51" t="s">
        <v>152</v>
      </c>
      <c r="K51" s="17">
        <v>12</v>
      </c>
      <c r="L51" s="5">
        <v>130</v>
      </c>
      <c r="M51" s="5">
        <v>65</v>
      </c>
      <c r="N51" s="6">
        <v>0.15</v>
      </c>
      <c r="O51" s="15">
        <f>Sales[[#This Row],[Quantity]]*Sales[[#This Row],[Unit Price]]*(1-Sales[[#This Row],[Discount Rate]])</f>
        <v>1326</v>
      </c>
      <c r="P51" s="15">
        <f>Sales[[#This Row],[Unit Cost]]*Sales[[#This Row],[Quantity]]</f>
        <v>780</v>
      </c>
      <c r="Q51" s="15">
        <f>Sales[[#This Row],[Revenue]]-Sales[[#This Row],[Product cost]]</f>
        <v>546</v>
      </c>
      <c r="R51" s="21">
        <f>Sales[[#This Row],[Gross Profit]]/Sales[[#This Row],[Revenue]]</f>
        <v>0.41176470588235292</v>
      </c>
    </row>
    <row r="52" spans="1:18">
      <c r="A52" t="s">
        <v>224</v>
      </c>
      <c r="B52" s="4">
        <v>46076</v>
      </c>
      <c r="C52" t="s">
        <v>34</v>
      </c>
      <c r="D52" t="s">
        <v>35</v>
      </c>
      <c r="E52" t="s">
        <v>36</v>
      </c>
      <c r="F52" t="s">
        <v>173</v>
      </c>
      <c r="G52" t="s">
        <v>94</v>
      </c>
      <c r="H52" t="s">
        <v>95</v>
      </c>
      <c r="I52" t="s">
        <v>58</v>
      </c>
      <c r="J52" t="s">
        <v>151</v>
      </c>
      <c r="K52" s="17">
        <v>2</v>
      </c>
      <c r="L52" s="5">
        <v>650</v>
      </c>
      <c r="M52" s="5">
        <v>430</v>
      </c>
      <c r="N52" s="6">
        <v>0</v>
      </c>
      <c r="O52" s="15">
        <f>Sales[[#This Row],[Quantity]]*Sales[[#This Row],[Unit Price]]*(1-Sales[[#This Row],[Discount Rate]])</f>
        <v>1300</v>
      </c>
      <c r="P52" s="15">
        <f>Sales[[#This Row],[Unit Cost]]*Sales[[#This Row],[Quantity]]</f>
        <v>860</v>
      </c>
      <c r="Q52" s="15">
        <f>Sales[[#This Row],[Revenue]]-Sales[[#This Row],[Product cost]]</f>
        <v>440</v>
      </c>
      <c r="R52" s="21">
        <f>Sales[[#This Row],[Gross Profit]]/Sales[[#This Row],[Revenue]]</f>
        <v>0.33846153846153848</v>
      </c>
    </row>
    <row r="53" spans="1:18">
      <c r="A53" t="s">
        <v>225</v>
      </c>
      <c r="B53" s="4">
        <v>46149</v>
      </c>
      <c r="C53" t="s">
        <v>34</v>
      </c>
      <c r="D53" t="s">
        <v>35</v>
      </c>
      <c r="E53" t="s">
        <v>36</v>
      </c>
      <c r="F53" t="s">
        <v>178</v>
      </c>
      <c r="G53" t="s">
        <v>68</v>
      </c>
      <c r="H53" t="s">
        <v>69</v>
      </c>
      <c r="I53" t="s">
        <v>63</v>
      </c>
      <c r="J53" t="s">
        <v>151</v>
      </c>
      <c r="K53" s="17">
        <v>2</v>
      </c>
      <c r="L53" s="5">
        <v>650</v>
      </c>
      <c r="M53" s="5">
        <v>430</v>
      </c>
      <c r="N53" s="6">
        <v>0</v>
      </c>
      <c r="O53" s="15">
        <f>Sales[[#This Row],[Quantity]]*Sales[[#This Row],[Unit Price]]*(1-Sales[[#This Row],[Discount Rate]])</f>
        <v>1300</v>
      </c>
      <c r="P53" s="15">
        <f>Sales[[#This Row],[Unit Cost]]*Sales[[#This Row],[Quantity]]</f>
        <v>860</v>
      </c>
      <c r="Q53" s="15">
        <f>Sales[[#This Row],[Revenue]]-Sales[[#This Row],[Product cost]]</f>
        <v>440</v>
      </c>
      <c r="R53" s="21">
        <f>Sales[[#This Row],[Gross Profit]]/Sales[[#This Row],[Revenue]]</f>
        <v>0.33846153846153848</v>
      </c>
    </row>
    <row r="54" spans="1:18">
      <c r="A54" t="s">
        <v>226</v>
      </c>
      <c r="B54" s="4">
        <v>46040</v>
      </c>
      <c r="C54" t="s">
        <v>34</v>
      </c>
      <c r="D54" t="s">
        <v>35</v>
      </c>
      <c r="E54" t="s">
        <v>36</v>
      </c>
      <c r="F54" t="s">
        <v>173</v>
      </c>
      <c r="G54" t="s">
        <v>72</v>
      </c>
      <c r="H54" t="s">
        <v>73</v>
      </c>
      <c r="I54" t="s">
        <v>58</v>
      </c>
      <c r="J54" t="s">
        <v>150</v>
      </c>
      <c r="K54" s="17">
        <v>2</v>
      </c>
      <c r="L54" s="5">
        <v>650</v>
      </c>
      <c r="M54" s="5">
        <v>430</v>
      </c>
      <c r="N54" s="6">
        <v>0</v>
      </c>
      <c r="O54" s="15">
        <f>Sales[[#This Row],[Quantity]]*Sales[[#This Row],[Unit Price]]*(1-Sales[[#This Row],[Discount Rate]])</f>
        <v>1300</v>
      </c>
      <c r="P54" s="15">
        <f>Sales[[#This Row],[Unit Cost]]*Sales[[#This Row],[Quantity]]</f>
        <v>860</v>
      </c>
      <c r="Q54" s="15">
        <f>Sales[[#This Row],[Revenue]]-Sales[[#This Row],[Product cost]]</f>
        <v>440</v>
      </c>
      <c r="R54" s="21">
        <f>Sales[[#This Row],[Gross Profit]]/Sales[[#This Row],[Revenue]]</f>
        <v>0.33846153846153848</v>
      </c>
    </row>
    <row r="55" spans="1:18">
      <c r="A55" t="s">
        <v>227</v>
      </c>
      <c r="B55" s="4">
        <v>46188</v>
      </c>
      <c r="C55" t="s">
        <v>34</v>
      </c>
      <c r="D55" t="s">
        <v>35</v>
      </c>
      <c r="E55" t="s">
        <v>36</v>
      </c>
      <c r="F55" t="s">
        <v>173</v>
      </c>
      <c r="G55" t="s">
        <v>88</v>
      </c>
      <c r="H55" t="s">
        <v>89</v>
      </c>
      <c r="I55" t="s">
        <v>58</v>
      </c>
      <c r="J55" t="s">
        <v>151</v>
      </c>
      <c r="K55" s="17">
        <v>2</v>
      </c>
      <c r="L55" s="5">
        <v>650</v>
      </c>
      <c r="M55" s="5">
        <v>430</v>
      </c>
      <c r="N55" s="6">
        <v>0</v>
      </c>
      <c r="O55" s="15">
        <f>Sales[[#This Row],[Quantity]]*Sales[[#This Row],[Unit Price]]*(1-Sales[[#This Row],[Discount Rate]])</f>
        <v>1300</v>
      </c>
      <c r="P55" s="15">
        <f>Sales[[#This Row],[Unit Cost]]*Sales[[#This Row],[Quantity]]</f>
        <v>860</v>
      </c>
      <c r="Q55" s="15">
        <f>Sales[[#This Row],[Revenue]]-Sales[[#This Row],[Product cost]]</f>
        <v>440</v>
      </c>
      <c r="R55" s="21">
        <f>Sales[[#This Row],[Gross Profit]]/Sales[[#This Row],[Revenue]]</f>
        <v>0.33846153846153848</v>
      </c>
    </row>
    <row r="56" spans="1:18">
      <c r="A56" t="s">
        <v>228</v>
      </c>
      <c r="B56" s="4">
        <v>46138</v>
      </c>
      <c r="C56" t="s">
        <v>37</v>
      </c>
      <c r="D56" t="s">
        <v>38</v>
      </c>
      <c r="E56" t="s">
        <v>36</v>
      </c>
      <c r="F56" t="s">
        <v>178</v>
      </c>
      <c r="G56" t="s">
        <v>92</v>
      </c>
      <c r="H56" t="s">
        <v>93</v>
      </c>
      <c r="I56" t="s">
        <v>63</v>
      </c>
      <c r="J56" t="s">
        <v>150</v>
      </c>
      <c r="K56" s="17">
        <v>7</v>
      </c>
      <c r="L56" s="5">
        <v>180</v>
      </c>
      <c r="M56" s="5">
        <v>95</v>
      </c>
      <c r="N56" s="6">
        <v>0</v>
      </c>
      <c r="O56" s="15">
        <f>Sales[[#This Row],[Quantity]]*Sales[[#This Row],[Unit Price]]*(1-Sales[[#This Row],[Discount Rate]])</f>
        <v>1260</v>
      </c>
      <c r="P56" s="15">
        <f>Sales[[#This Row],[Unit Cost]]*Sales[[#This Row],[Quantity]]</f>
        <v>665</v>
      </c>
      <c r="Q56" s="15">
        <f>Sales[[#This Row],[Revenue]]-Sales[[#This Row],[Product cost]]</f>
        <v>595</v>
      </c>
      <c r="R56" s="21">
        <f>Sales[[#This Row],[Gross Profit]]/Sales[[#This Row],[Revenue]]</f>
        <v>0.47222222222222221</v>
      </c>
    </row>
    <row r="57" spans="1:18">
      <c r="A57" t="s">
        <v>229</v>
      </c>
      <c r="B57" s="4">
        <v>46201</v>
      </c>
      <c r="C57" t="s">
        <v>37</v>
      </c>
      <c r="D57" t="s">
        <v>38</v>
      </c>
      <c r="E57" t="s">
        <v>36</v>
      </c>
      <c r="F57" t="s">
        <v>171</v>
      </c>
      <c r="G57" t="s">
        <v>110</v>
      </c>
      <c r="H57" t="s">
        <v>111</v>
      </c>
      <c r="I57" t="s">
        <v>63</v>
      </c>
      <c r="J57" t="s">
        <v>151</v>
      </c>
      <c r="K57" s="17">
        <v>7</v>
      </c>
      <c r="L57" s="5">
        <v>180</v>
      </c>
      <c r="M57" s="5">
        <v>95</v>
      </c>
      <c r="N57" s="6">
        <v>0</v>
      </c>
      <c r="O57" s="15">
        <f>Sales[[#This Row],[Quantity]]*Sales[[#This Row],[Unit Price]]*(1-Sales[[#This Row],[Discount Rate]])</f>
        <v>1260</v>
      </c>
      <c r="P57" s="15">
        <f>Sales[[#This Row],[Unit Cost]]*Sales[[#This Row],[Quantity]]</f>
        <v>665</v>
      </c>
      <c r="Q57" s="15">
        <f>Sales[[#This Row],[Revenue]]-Sales[[#This Row],[Product cost]]</f>
        <v>595</v>
      </c>
      <c r="R57" s="21">
        <f>Sales[[#This Row],[Gross Profit]]/Sales[[#This Row],[Revenue]]</f>
        <v>0.47222222222222221</v>
      </c>
    </row>
    <row r="58" spans="1:18">
      <c r="A58" t="s">
        <v>230</v>
      </c>
      <c r="B58" s="4">
        <v>46083</v>
      </c>
      <c r="C58" t="s">
        <v>34</v>
      </c>
      <c r="D58" t="s">
        <v>35</v>
      </c>
      <c r="E58" t="s">
        <v>36</v>
      </c>
      <c r="F58" t="s">
        <v>173</v>
      </c>
      <c r="G58" t="s">
        <v>94</v>
      </c>
      <c r="H58" t="s">
        <v>95</v>
      </c>
      <c r="I58" t="s">
        <v>58</v>
      </c>
      <c r="J58" t="s">
        <v>153</v>
      </c>
      <c r="K58" s="17">
        <v>2</v>
      </c>
      <c r="L58" s="5">
        <v>617.5</v>
      </c>
      <c r="M58" s="5">
        <v>430</v>
      </c>
      <c r="N58" s="6">
        <v>0</v>
      </c>
      <c r="O58" s="15">
        <f>Sales[[#This Row],[Quantity]]*Sales[[#This Row],[Unit Price]]*(1-Sales[[#This Row],[Discount Rate]])</f>
        <v>1235</v>
      </c>
      <c r="P58" s="15">
        <f>Sales[[#This Row],[Unit Cost]]*Sales[[#This Row],[Quantity]]</f>
        <v>860</v>
      </c>
      <c r="Q58" s="15">
        <f>Sales[[#This Row],[Revenue]]-Sales[[#This Row],[Product cost]]</f>
        <v>375</v>
      </c>
      <c r="R58" s="21">
        <f>Sales[[#This Row],[Gross Profit]]/Sales[[#This Row],[Revenue]]</f>
        <v>0.30364372469635625</v>
      </c>
    </row>
    <row r="59" spans="1:18">
      <c r="A59" t="s">
        <v>231</v>
      </c>
      <c r="B59" s="4">
        <v>46078</v>
      </c>
      <c r="C59" t="s">
        <v>34</v>
      </c>
      <c r="D59" t="s">
        <v>35</v>
      </c>
      <c r="E59" t="s">
        <v>36</v>
      </c>
      <c r="F59" t="s">
        <v>175</v>
      </c>
      <c r="G59" t="s">
        <v>126</v>
      </c>
      <c r="H59" t="s">
        <v>127</v>
      </c>
      <c r="I59" t="s">
        <v>58</v>
      </c>
      <c r="J59" t="s">
        <v>151</v>
      </c>
      <c r="K59" s="17">
        <v>2</v>
      </c>
      <c r="L59" s="5">
        <v>650</v>
      </c>
      <c r="M59" s="5">
        <v>430</v>
      </c>
      <c r="N59" s="6">
        <v>0.05</v>
      </c>
      <c r="O59" s="15">
        <f>Sales[[#This Row],[Quantity]]*Sales[[#This Row],[Unit Price]]*(1-Sales[[#This Row],[Discount Rate]])</f>
        <v>1235</v>
      </c>
      <c r="P59" s="15">
        <f>Sales[[#This Row],[Unit Cost]]*Sales[[#This Row],[Quantity]]</f>
        <v>860</v>
      </c>
      <c r="Q59" s="15">
        <f>Sales[[#This Row],[Revenue]]-Sales[[#This Row],[Product cost]]</f>
        <v>375</v>
      </c>
      <c r="R59" s="21">
        <f>Sales[[#This Row],[Gross Profit]]/Sales[[#This Row],[Revenue]]</f>
        <v>0.30364372469635625</v>
      </c>
    </row>
    <row r="60" spans="1:18">
      <c r="A60" t="s">
        <v>232</v>
      </c>
      <c r="B60" s="4">
        <v>46088</v>
      </c>
      <c r="C60" t="s">
        <v>34</v>
      </c>
      <c r="D60" t="s">
        <v>35</v>
      </c>
      <c r="E60" t="s">
        <v>36</v>
      </c>
      <c r="F60" t="s">
        <v>173</v>
      </c>
      <c r="G60" t="s">
        <v>96</v>
      </c>
      <c r="H60" t="s">
        <v>97</v>
      </c>
      <c r="I60" t="s">
        <v>58</v>
      </c>
      <c r="J60" t="s">
        <v>150</v>
      </c>
      <c r="K60" s="17">
        <v>2</v>
      </c>
      <c r="L60" s="5">
        <v>650</v>
      </c>
      <c r="M60" s="5">
        <v>430</v>
      </c>
      <c r="N60" s="6">
        <v>0.05</v>
      </c>
      <c r="O60" s="15">
        <f>Sales[[#This Row],[Quantity]]*Sales[[#This Row],[Unit Price]]*(1-Sales[[#This Row],[Discount Rate]])</f>
        <v>1235</v>
      </c>
      <c r="P60" s="15">
        <f>Sales[[#This Row],[Unit Cost]]*Sales[[#This Row],[Quantity]]</f>
        <v>860</v>
      </c>
      <c r="Q60" s="15">
        <f>Sales[[#This Row],[Revenue]]-Sales[[#This Row],[Product cost]]</f>
        <v>375</v>
      </c>
      <c r="R60" s="21">
        <f>Sales[[#This Row],[Gross Profit]]/Sales[[#This Row],[Revenue]]</f>
        <v>0.30364372469635625</v>
      </c>
    </row>
    <row r="61" spans="1:18">
      <c r="A61" t="s">
        <v>233</v>
      </c>
      <c r="B61" s="4">
        <v>46155</v>
      </c>
      <c r="C61" t="s">
        <v>34</v>
      </c>
      <c r="D61" t="s">
        <v>35</v>
      </c>
      <c r="E61" t="s">
        <v>36</v>
      </c>
      <c r="F61" t="s">
        <v>171</v>
      </c>
      <c r="G61" t="s">
        <v>64</v>
      </c>
      <c r="H61" t="s">
        <v>65</v>
      </c>
      <c r="I61" t="s">
        <v>58</v>
      </c>
      <c r="J61" t="s">
        <v>150</v>
      </c>
      <c r="K61" s="17">
        <v>2</v>
      </c>
      <c r="L61" s="5">
        <v>617.5</v>
      </c>
      <c r="M61" s="5">
        <v>430</v>
      </c>
      <c r="N61" s="6">
        <v>0</v>
      </c>
      <c r="O61" s="15">
        <f>Sales[[#This Row],[Quantity]]*Sales[[#This Row],[Unit Price]]*(1-Sales[[#This Row],[Discount Rate]])</f>
        <v>1235</v>
      </c>
      <c r="P61" s="15">
        <f>Sales[[#This Row],[Unit Cost]]*Sales[[#This Row],[Quantity]]</f>
        <v>860</v>
      </c>
      <c r="Q61" s="15">
        <f>Sales[[#This Row],[Revenue]]-Sales[[#This Row],[Product cost]]</f>
        <v>375</v>
      </c>
      <c r="R61" s="21">
        <f>Sales[[#This Row],[Gross Profit]]/Sales[[#This Row],[Revenue]]</f>
        <v>0.30364372469635625</v>
      </c>
    </row>
    <row r="62" spans="1:18">
      <c r="A62" t="s">
        <v>234</v>
      </c>
      <c r="B62" s="4">
        <v>46062</v>
      </c>
      <c r="C62" t="s">
        <v>34</v>
      </c>
      <c r="D62" t="s">
        <v>35</v>
      </c>
      <c r="E62" t="s">
        <v>36</v>
      </c>
      <c r="F62" t="s">
        <v>171</v>
      </c>
      <c r="G62" t="s">
        <v>59</v>
      </c>
      <c r="H62" t="s">
        <v>60</v>
      </c>
      <c r="I62" t="s">
        <v>58</v>
      </c>
      <c r="J62" t="s">
        <v>150</v>
      </c>
      <c r="K62" s="17">
        <v>2</v>
      </c>
      <c r="L62" s="5">
        <v>682.5</v>
      </c>
      <c r="M62" s="5">
        <v>430</v>
      </c>
      <c r="N62" s="6">
        <v>0.1</v>
      </c>
      <c r="O62" s="15">
        <f>Sales[[#This Row],[Quantity]]*Sales[[#This Row],[Unit Price]]*(1-Sales[[#This Row],[Discount Rate]])</f>
        <v>1228.5</v>
      </c>
      <c r="P62" s="15">
        <f>Sales[[#This Row],[Unit Cost]]*Sales[[#This Row],[Quantity]]</f>
        <v>860</v>
      </c>
      <c r="Q62" s="15">
        <f>Sales[[#This Row],[Revenue]]-Sales[[#This Row],[Product cost]]</f>
        <v>368.5</v>
      </c>
      <c r="R62" s="21">
        <f>Sales[[#This Row],[Gross Profit]]/Sales[[#This Row],[Revenue]]</f>
        <v>0.29995929995929999</v>
      </c>
    </row>
    <row r="63" spans="1:18">
      <c r="A63" t="s">
        <v>235</v>
      </c>
      <c r="B63" s="4">
        <v>46177</v>
      </c>
      <c r="C63" t="s">
        <v>34</v>
      </c>
      <c r="D63" t="s">
        <v>35</v>
      </c>
      <c r="E63" t="s">
        <v>36</v>
      </c>
      <c r="F63" t="s">
        <v>178</v>
      </c>
      <c r="G63" t="s">
        <v>61</v>
      </c>
      <c r="H63" t="s">
        <v>62</v>
      </c>
      <c r="I63" t="s">
        <v>63</v>
      </c>
      <c r="J63" t="s">
        <v>151</v>
      </c>
      <c r="K63" s="17">
        <v>2</v>
      </c>
      <c r="L63" s="5">
        <v>682.5</v>
      </c>
      <c r="M63" s="5">
        <v>430</v>
      </c>
      <c r="N63" s="6">
        <v>0.1</v>
      </c>
      <c r="O63" s="15">
        <f>Sales[[#This Row],[Quantity]]*Sales[[#This Row],[Unit Price]]*(1-Sales[[#This Row],[Discount Rate]])</f>
        <v>1228.5</v>
      </c>
      <c r="P63" s="15">
        <f>Sales[[#This Row],[Unit Cost]]*Sales[[#This Row],[Quantity]]</f>
        <v>860</v>
      </c>
      <c r="Q63" s="15">
        <f>Sales[[#This Row],[Revenue]]-Sales[[#This Row],[Product cost]]</f>
        <v>368.5</v>
      </c>
      <c r="R63" s="21">
        <f>Sales[[#This Row],[Gross Profit]]/Sales[[#This Row],[Revenue]]</f>
        <v>0.29995929995929999</v>
      </c>
    </row>
    <row r="64" spans="1:18">
      <c r="A64" t="s">
        <v>236</v>
      </c>
      <c r="B64" s="4">
        <v>46094</v>
      </c>
      <c r="C64" t="s">
        <v>51</v>
      </c>
      <c r="D64" t="s">
        <v>52</v>
      </c>
      <c r="E64" t="s">
        <v>50</v>
      </c>
      <c r="F64" t="s">
        <v>175</v>
      </c>
      <c r="G64" t="s">
        <v>68</v>
      </c>
      <c r="H64" t="s">
        <v>69</v>
      </c>
      <c r="I64" t="s">
        <v>63</v>
      </c>
      <c r="J64" t="s">
        <v>152</v>
      </c>
      <c r="K64" s="17">
        <v>11</v>
      </c>
      <c r="L64" s="5">
        <v>130</v>
      </c>
      <c r="M64" s="5">
        <v>65</v>
      </c>
      <c r="N64" s="6">
        <v>0.15</v>
      </c>
      <c r="O64" s="15">
        <f>Sales[[#This Row],[Quantity]]*Sales[[#This Row],[Unit Price]]*(1-Sales[[#This Row],[Discount Rate]])</f>
        <v>1215.5</v>
      </c>
      <c r="P64" s="15">
        <f>Sales[[#This Row],[Unit Cost]]*Sales[[#This Row],[Quantity]]</f>
        <v>715</v>
      </c>
      <c r="Q64" s="15">
        <f>Sales[[#This Row],[Revenue]]-Sales[[#This Row],[Product cost]]</f>
        <v>500.5</v>
      </c>
      <c r="R64" s="21">
        <f>Sales[[#This Row],[Gross Profit]]/Sales[[#This Row],[Revenue]]</f>
        <v>0.41176470588235292</v>
      </c>
    </row>
    <row r="65" spans="1:18">
      <c r="A65" t="s">
        <v>237</v>
      </c>
      <c r="B65" s="4">
        <v>46118</v>
      </c>
      <c r="C65" t="s">
        <v>48</v>
      </c>
      <c r="D65" t="s">
        <v>49</v>
      </c>
      <c r="E65" t="s">
        <v>50</v>
      </c>
      <c r="F65" t="s">
        <v>175</v>
      </c>
      <c r="G65" t="s">
        <v>74</v>
      </c>
      <c r="H65" t="s">
        <v>75</v>
      </c>
      <c r="I65" t="s">
        <v>63</v>
      </c>
      <c r="J65" t="s">
        <v>150</v>
      </c>
      <c r="K65" s="17">
        <v>7</v>
      </c>
      <c r="L65" s="5">
        <v>170</v>
      </c>
      <c r="M65" s="5">
        <v>95</v>
      </c>
      <c r="N65" s="6">
        <v>0</v>
      </c>
      <c r="O65" s="15">
        <f>Sales[[#This Row],[Quantity]]*Sales[[#This Row],[Unit Price]]*(1-Sales[[#This Row],[Discount Rate]])</f>
        <v>1190</v>
      </c>
      <c r="P65" s="15">
        <f>Sales[[#This Row],[Unit Cost]]*Sales[[#This Row],[Quantity]]</f>
        <v>665</v>
      </c>
      <c r="Q65" s="15">
        <f>Sales[[#This Row],[Revenue]]-Sales[[#This Row],[Product cost]]</f>
        <v>525</v>
      </c>
      <c r="R65" s="21">
        <f>Sales[[#This Row],[Gross Profit]]/Sales[[#This Row],[Revenue]]</f>
        <v>0.44117647058823528</v>
      </c>
    </row>
    <row r="66" spans="1:18">
      <c r="A66" t="s">
        <v>238</v>
      </c>
      <c r="B66" s="4">
        <v>46187</v>
      </c>
      <c r="C66" t="s">
        <v>34</v>
      </c>
      <c r="D66" t="s">
        <v>35</v>
      </c>
      <c r="E66" t="s">
        <v>36</v>
      </c>
      <c r="F66" t="s">
        <v>171</v>
      </c>
      <c r="G66" t="s">
        <v>126</v>
      </c>
      <c r="H66" t="s">
        <v>127</v>
      </c>
      <c r="I66" t="s">
        <v>58</v>
      </c>
      <c r="J66" t="s">
        <v>153</v>
      </c>
      <c r="K66" s="17">
        <v>2</v>
      </c>
      <c r="L66" s="5">
        <v>617.5</v>
      </c>
      <c r="M66" s="5">
        <v>430</v>
      </c>
      <c r="N66" s="6">
        <v>0.05</v>
      </c>
      <c r="O66" s="15">
        <f>Sales[[#This Row],[Quantity]]*Sales[[#This Row],[Unit Price]]*(1-Sales[[#This Row],[Discount Rate]])</f>
        <v>1173.25</v>
      </c>
      <c r="P66" s="15">
        <f>Sales[[#This Row],[Unit Cost]]*Sales[[#This Row],[Quantity]]</f>
        <v>860</v>
      </c>
      <c r="Q66" s="15">
        <f>Sales[[#This Row],[Revenue]]-Sales[[#This Row],[Product cost]]</f>
        <v>313.25</v>
      </c>
      <c r="R66" s="21">
        <f>Sales[[#This Row],[Gross Profit]]/Sales[[#This Row],[Revenue]]</f>
        <v>0.26699339441721714</v>
      </c>
    </row>
    <row r="67" spans="1:18">
      <c r="A67" t="s">
        <v>239</v>
      </c>
      <c r="B67" s="4">
        <v>46186</v>
      </c>
      <c r="C67" t="s">
        <v>34</v>
      </c>
      <c r="D67" t="s">
        <v>35</v>
      </c>
      <c r="E67" t="s">
        <v>36</v>
      </c>
      <c r="F67" t="s">
        <v>171</v>
      </c>
      <c r="G67" t="s">
        <v>59</v>
      </c>
      <c r="H67" t="s">
        <v>60</v>
      </c>
      <c r="I67" t="s">
        <v>58</v>
      </c>
      <c r="J67" t="s">
        <v>151</v>
      </c>
      <c r="K67" s="17">
        <v>2</v>
      </c>
      <c r="L67" s="5">
        <v>650</v>
      </c>
      <c r="M67" s="5">
        <v>430</v>
      </c>
      <c r="N67" s="6">
        <v>0.1</v>
      </c>
      <c r="O67" s="15">
        <f>Sales[[#This Row],[Quantity]]*Sales[[#This Row],[Unit Price]]*(1-Sales[[#This Row],[Discount Rate]])</f>
        <v>1170</v>
      </c>
      <c r="P67" s="15">
        <f>Sales[[#This Row],[Unit Cost]]*Sales[[#This Row],[Quantity]]</f>
        <v>860</v>
      </c>
      <c r="Q67" s="15">
        <f>Sales[[#This Row],[Revenue]]-Sales[[#This Row],[Product cost]]</f>
        <v>310</v>
      </c>
      <c r="R67" s="21">
        <f>Sales[[#This Row],[Gross Profit]]/Sales[[#This Row],[Revenue]]</f>
        <v>0.26495726495726496</v>
      </c>
    </row>
    <row r="68" spans="1:18">
      <c r="A68" t="s">
        <v>240</v>
      </c>
      <c r="B68" s="4">
        <v>46169</v>
      </c>
      <c r="C68" t="s">
        <v>39</v>
      </c>
      <c r="D68" t="s">
        <v>40</v>
      </c>
      <c r="E68" t="s">
        <v>36</v>
      </c>
      <c r="F68" t="s">
        <v>175</v>
      </c>
      <c r="G68" t="s">
        <v>92</v>
      </c>
      <c r="H68" t="s">
        <v>93</v>
      </c>
      <c r="I68" t="s">
        <v>63</v>
      </c>
      <c r="J68" t="s">
        <v>152</v>
      </c>
      <c r="K68" s="17">
        <v>5</v>
      </c>
      <c r="L68" s="5">
        <v>260</v>
      </c>
      <c r="M68" s="5">
        <v>155</v>
      </c>
      <c r="N68" s="6">
        <v>0.1</v>
      </c>
      <c r="O68" s="15">
        <f>Sales[[#This Row],[Quantity]]*Sales[[#This Row],[Unit Price]]*(1-Sales[[#This Row],[Discount Rate]])</f>
        <v>1170</v>
      </c>
      <c r="P68" s="15">
        <f>Sales[[#This Row],[Unit Cost]]*Sales[[#This Row],[Quantity]]</f>
        <v>775</v>
      </c>
      <c r="Q68" s="15">
        <f>Sales[[#This Row],[Revenue]]-Sales[[#This Row],[Product cost]]</f>
        <v>395</v>
      </c>
      <c r="R68" s="21">
        <f>Sales[[#This Row],[Gross Profit]]/Sales[[#This Row],[Revenue]]</f>
        <v>0.33760683760683763</v>
      </c>
    </row>
    <row r="69" spans="1:18">
      <c r="A69" t="s">
        <v>241</v>
      </c>
      <c r="B69" s="4">
        <v>46124</v>
      </c>
      <c r="C69" t="s">
        <v>34</v>
      </c>
      <c r="D69" t="s">
        <v>35</v>
      </c>
      <c r="E69" t="s">
        <v>36</v>
      </c>
      <c r="F69" t="s">
        <v>173</v>
      </c>
      <c r="G69" t="s">
        <v>66</v>
      </c>
      <c r="H69" t="s">
        <v>67</v>
      </c>
      <c r="I69" t="s">
        <v>58</v>
      </c>
      <c r="J69" t="s">
        <v>153</v>
      </c>
      <c r="K69" s="17">
        <v>2</v>
      </c>
      <c r="L69" s="5">
        <v>617.5</v>
      </c>
      <c r="M69" s="5">
        <v>430</v>
      </c>
      <c r="N69" s="6">
        <v>0.1</v>
      </c>
      <c r="O69" s="15">
        <f>Sales[[#This Row],[Quantity]]*Sales[[#This Row],[Unit Price]]*(1-Sales[[#This Row],[Discount Rate]])</f>
        <v>1111.5</v>
      </c>
      <c r="P69" s="15">
        <f>Sales[[#This Row],[Unit Cost]]*Sales[[#This Row],[Quantity]]</f>
        <v>860</v>
      </c>
      <c r="Q69" s="15">
        <f>Sales[[#This Row],[Revenue]]-Sales[[#This Row],[Product cost]]</f>
        <v>251.5</v>
      </c>
      <c r="R69" s="21">
        <f>Sales[[#This Row],[Gross Profit]]/Sales[[#This Row],[Revenue]]</f>
        <v>0.22627080521817364</v>
      </c>
    </row>
    <row r="70" spans="1:18">
      <c r="A70" t="s">
        <v>242</v>
      </c>
      <c r="B70" s="4">
        <v>46082</v>
      </c>
      <c r="C70" t="s">
        <v>34</v>
      </c>
      <c r="D70" t="s">
        <v>35</v>
      </c>
      <c r="E70" t="s">
        <v>36</v>
      </c>
      <c r="F70" t="s">
        <v>173</v>
      </c>
      <c r="G70" t="s">
        <v>102</v>
      </c>
      <c r="H70" t="s">
        <v>103</v>
      </c>
      <c r="I70" t="s">
        <v>58</v>
      </c>
      <c r="J70" t="s">
        <v>151</v>
      </c>
      <c r="K70" s="17">
        <v>2</v>
      </c>
      <c r="L70" s="5">
        <v>617.5</v>
      </c>
      <c r="M70" s="5">
        <v>430</v>
      </c>
      <c r="N70" s="6">
        <v>0.15</v>
      </c>
      <c r="O70" s="15">
        <f>Sales[[#This Row],[Quantity]]*Sales[[#This Row],[Unit Price]]*(1-Sales[[#This Row],[Discount Rate]])</f>
        <v>1049.75</v>
      </c>
      <c r="P70" s="15">
        <f>Sales[[#This Row],[Unit Cost]]*Sales[[#This Row],[Quantity]]</f>
        <v>860</v>
      </c>
      <c r="Q70" s="15">
        <f>Sales[[#This Row],[Revenue]]-Sales[[#This Row],[Product cost]]</f>
        <v>189.75</v>
      </c>
      <c r="R70" s="21">
        <f>Sales[[#This Row],[Gross Profit]]/Sales[[#This Row],[Revenue]]</f>
        <v>0.18075732317218385</v>
      </c>
    </row>
    <row r="71" spans="1:18">
      <c r="A71" t="s">
        <v>243</v>
      </c>
      <c r="B71" s="4">
        <v>46170</v>
      </c>
      <c r="C71" t="s">
        <v>39</v>
      </c>
      <c r="D71" t="s">
        <v>40</v>
      </c>
      <c r="E71" t="s">
        <v>36</v>
      </c>
      <c r="F71" t="s">
        <v>175</v>
      </c>
      <c r="G71" t="s">
        <v>64</v>
      </c>
      <c r="H71" t="s">
        <v>65</v>
      </c>
      <c r="I71" t="s">
        <v>58</v>
      </c>
      <c r="J71" t="s">
        <v>151</v>
      </c>
      <c r="K71" s="17">
        <v>4</v>
      </c>
      <c r="L71" s="5">
        <v>260</v>
      </c>
      <c r="M71" s="5">
        <v>155</v>
      </c>
      <c r="N71" s="6">
        <v>0</v>
      </c>
      <c r="O71" s="15">
        <f>Sales[[#This Row],[Quantity]]*Sales[[#This Row],[Unit Price]]*(1-Sales[[#This Row],[Discount Rate]])</f>
        <v>1040</v>
      </c>
      <c r="P71" s="15">
        <f>Sales[[#This Row],[Unit Cost]]*Sales[[#This Row],[Quantity]]</f>
        <v>620</v>
      </c>
      <c r="Q71" s="15">
        <f>Sales[[#This Row],[Revenue]]-Sales[[#This Row],[Product cost]]</f>
        <v>420</v>
      </c>
      <c r="R71" s="21">
        <f>Sales[[#This Row],[Gross Profit]]/Sales[[#This Row],[Revenue]]</f>
        <v>0.40384615384615385</v>
      </c>
    </row>
    <row r="72" spans="1:18">
      <c r="A72" t="s">
        <v>244</v>
      </c>
      <c r="B72" s="4">
        <v>46117</v>
      </c>
      <c r="C72" t="s">
        <v>39</v>
      </c>
      <c r="D72" t="s">
        <v>40</v>
      </c>
      <c r="E72" t="s">
        <v>36</v>
      </c>
      <c r="F72" t="s">
        <v>178</v>
      </c>
      <c r="G72" t="s">
        <v>128</v>
      </c>
      <c r="H72" t="s">
        <v>129</v>
      </c>
      <c r="I72" t="s">
        <v>63</v>
      </c>
      <c r="J72" t="s">
        <v>152</v>
      </c>
      <c r="K72" s="17">
        <v>4</v>
      </c>
      <c r="L72" s="5">
        <v>260</v>
      </c>
      <c r="M72" s="5">
        <v>155</v>
      </c>
      <c r="N72" s="6">
        <v>0</v>
      </c>
      <c r="O72" s="15">
        <f>Sales[[#This Row],[Quantity]]*Sales[[#This Row],[Unit Price]]*(1-Sales[[#This Row],[Discount Rate]])</f>
        <v>1040</v>
      </c>
      <c r="P72" s="15">
        <f>Sales[[#This Row],[Unit Cost]]*Sales[[#This Row],[Quantity]]</f>
        <v>620</v>
      </c>
      <c r="Q72" s="15">
        <f>Sales[[#This Row],[Revenue]]-Sales[[#This Row],[Product cost]]</f>
        <v>420</v>
      </c>
      <c r="R72" s="21">
        <f>Sales[[#This Row],[Gross Profit]]/Sales[[#This Row],[Revenue]]</f>
        <v>0.40384615384615385</v>
      </c>
    </row>
    <row r="73" spans="1:18">
      <c r="A73" t="s">
        <v>245</v>
      </c>
      <c r="B73" s="4">
        <v>46190</v>
      </c>
      <c r="C73" t="s">
        <v>39</v>
      </c>
      <c r="D73" t="s">
        <v>40</v>
      </c>
      <c r="E73" t="s">
        <v>36</v>
      </c>
      <c r="F73" t="s">
        <v>171</v>
      </c>
      <c r="G73" t="s">
        <v>120</v>
      </c>
      <c r="H73" t="s">
        <v>121</v>
      </c>
      <c r="I73" t="s">
        <v>58</v>
      </c>
      <c r="J73" t="s">
        <v>151</v>
      </c>
      <c r="K73" s="17">
        <v>4</v>
      </c>
      <c r="L73" s="5">
        <v>260</v>
      </c>
      <c r="M73" s="5">
        <v>155</v>
      </c>
      <c r="N73" s="6">
        <v>0</v>
      </c>
      <c r="O73" s="15">
        <f>Sales[[#This Row],[Quantity]]*Sales[[#This Row],[Unit Price]]*(1-Sales[[#This Row],[Discount Rate]])</f>
        <v>1040</v>
      </c>
      <c r="P73" s="15">
        <f>Sales[[#This Row],[Unit Cost]]*Sales[[#This Row],[Quantity]]</f>
        <v>620</v>
      </c>
      <c r="Q73" s="15">
        <f>Sales[[#This Row],[Revenue]]-Sales[[#This Row],[Product cost]]</f>
        <v>420</v>
      </c>
      <c r="R73" s="21">
        <f>Sales[[#This Row],[Gross Profit]]/Sales[[#This Row],[Revenue]]</f>
        <v>0.40384615384615385</v>
      </c>
    </row>
    <row r="74" spans="1:18">
      <c r="A74" t="s">
        <v>246</v>
      </c>
      <c r="B74" s="4">
        <v>46058</v>
      </c>
      <c r="C74" t="s">
        <v>39</v>
      </c>
      <c r="D74" t="s">
        <v>40</v>
      </c>
      <c r="E74" t="s">
        <v>36</v>
      </c>
      <c r="F74" t="s">
        <v>175</v>
      </c>
      <c r="G74" t="s">
        <v>96</v>
      </c>
      <c r="H74" t="s">
        <v>97</v>
      </c>
      <c r="I74" t="s">
        <v>58</v>
      </c>
      <c r="J74" t="s">
        <v>151</v>
      </c>
      <c r="K74" s="17">
        <v>4</v>
      </c>
      <c r="L74" s="5">
        <v>273</v>
      </c>
      <c r="M74" s="5">
        <v>155</v>
      </c>
      <c r="N74" s="6">
        <v>0.05</v>
      </c>
      <c r="O74" s="15">
        <f>Sales[[#This Row],[Quantity]]*Sales[[#This Row],[Unit Price]]*(1-Sales[[#This Row],[Discount Rate]])</f>
        <v>1037.3999999999999</v>
      </c>
      <c r="P74" s="15">
        <f>Sales[[#This Row],[Unit Cost]]*Sales[[#This Row],[Quantity]]</f>
        <v>620</v>
      </c>
      <c r="Q74" s="15">
        <f>Sales[[#This Row],[Revenue]]-Sales[[#This Row],[Product cost]]</f>
        <v>417.39999999999986</v>
      </c>
      <c r="R74" s="21">
        <f>Sales[[#This Row],[Gross Profit]]/Sales[[#This Row],[Revenue]]</f>
        <v>0.40235203393098123</v>
      </c>
    </row>
    <row r="75" spans="1:18">
      <c r="A75" t="s">
        <v>247</v>
      </c>
      <c r="B75" s="4">
        <v>46189</v>
      </c>
      <c r="C75" t="s">
        <v>48</v>
      </c>
      <c r="D75" t="s">
        <v>49</v>
      </c>
      <c r="E75" t="s">
        <v>50</v>
      </c>
      <c r="F75" t="s">
        <v>171</v>
      </c>
      <c r="G75" t="s">
        <v>61</v>
      </c>
      <c r="H75" t="s">
        <v>62</v>
      </c>
      <c r="I75" t="s">
        <v>63</v>
      </c>
      <c r="J75" t="s">
        <v>150</v>
      </c>
      <c r="K75" s="17">
        <v>7</v>
      </c>
      <c r="L75" s="5">
        <v>170</v>
      </c>
      <c r="M75" s="5">
        <v>95</v>
      </c>
      <c r="N75" s="6">
        <v>0.15</v>
      </c>
      <c r="O75" s="15">
        <f>Sales[[#This Row],[Quantity]]*Sales[[#This Row],[Unit Price]]*(1-Sales[[#This Row],[Discount Rate]])</f>
        <v>1011.5</v>
      </c>
      <c r="P75" s="15">
        <f>Sales[[#This Row],[Unit Cost]]*Sales[[#This Row],[Quantity]]</f>
        <v>665</v>
      </c>
      <c r="Q75" s="15">
        <f>Sales[[#This Row],[Revenue]]-Sales[[#This Row],[Product cost]]</f>
        <v>346.5</v>
      </c>
      <c r="R75" s="21">
        <f>Sales[[#This Row],[Gross Profit]]/Sales[[#This Row],[Revenue]]</f>
        <v>0.34256055363321797</v>
      </c>
    </row>
    <row r="76" spans="1:18">
      <c r="A76" t="s">
        <v>248</v>
      </c>
      <c r="B76" s="4">
        <v>46151</v>
      </c>
      <c r="C76" t="s">
        <v>39</v>
      </c>
      <c r="D76" t="s">
        <v>40</v>
      </c>
      <c r="E76" t="s">
        <v>36</v>
      </c>
      <c r="F76" t="s">
        <v>178</v>
      </c>
      <c r="G76" t="s">
        <v>108</v>
      </c>
      <c r="H76" t="s">
        <v>109</v>
      </c>
      <c r="I76" t="s">
        <v>58</v>
      </c>
      <c r="J76" t="s">
        <v>150</v>
      </c>
      <c r="K76" s="17">
        <v>4</v>
      </c>
      <c r="L76" s="5">
        <v>247</v>
      </c>
      <c r="M76" s="5">
        <v>155</v>
      </c>
      <c r="N76" s="6">
        <v>0</v>
      </c>
      <c r="O76" s="15">
        <f>Sales[[#This Row],[Quantity]]*Sales[[#This Row],[Unit Price]]*(1-Sales[[#This Row],[Discount Rate]])</f>
        <v>988</v>
      </c>
      <c r="P76" s="15">
        <f>Sales[[#This Row],[Unit Cost]]*Sales[[#This Row],[Quantity]]</f>
        <v>620</v>
      </c>
      <c r="Q76" s="15">
        <f>Sales[[#This Row],[Revenue]]-Sales[[#This Row],[Product cost]]</f>
        <v>368</v>
      </c>
      <c r="R76" s="21">
        <f>Sales[[#This Row],[Gross Profit]]/Sales[[#This Row],[Revenue]]</f>
        <v>0.37246963562753038</v>
      </c>
    </row>
    <row r="77" spans="1:18">
      <c r="A77" t="s">
        <v>249</v>
      </c>
      <c r="B77" s="4">
        <v>46072</v>
      </c>
      <c r="C77" t="s">
        <v>39</v>
      </c>
      <c r="D77" t="s">
        <v>40</v>
      </c>
      <c r="E77" t="s">
        <v>36</v>
      </c>
      <c r="F77" t="s">
        <v>171</v>
      </c>
      <c r="G77" t="s">
        <v>108</v>
      </c>
      <c r="H77" t="s">
        <v>109</v>
      </c>
      <c r="I77" t="s">
        <v>58</v>
      </c>
      <c r="J77" t="s">
        <v>152</v>
      </c>
      <c r="K77" s="17">
        <v>4</v>
      </c>
      <c r="L77" s="5">
        <v>247</v>
      </c>
      <c r="M77" s="5">
        <v>155</v>
      </c>
      <c r="N77" s="6">
        <v>0</v>
      </c>
      <c r="O77" s="15">
        <f>Sales[[#This Row],[Quantity]]*Sales[[#This Row],[Unit Price]]*(1-Sales[[#This Row],[Discount Rate]])</f>
        <v>988</v>
      </c>
      <c r="P77" s="15">
        <f>Sales[[#This Row],[Unit Cost]]*Sales[[#This Row],[Quantity]]</f>
        <v>620</v>
      </c>
      <c r="Q77" s="15">
        <f>Sales[[#This Row],[Revenue]]-Sales[[#This Row],[Product cost]]</f>
        <v>368</v>
      </c>
      <c r="R77" s="21">
        <f>Sales[[#This Row],[Gross Profit]]/Sales[[#This Row],[Revenue]]</f>
        <v>0.37246963562753038</v>
      </c>
    </row>
    <row r="78" spans="1:18">
      <c r="A78" t="s">
        <v>250</v>
      </c>
      <c r="B78" s="4">
        <v>46034</v>
      </c>
      <c r="C78" t="s">
        <v>39</v>
      </c>
      <c r="D78" t="s">
        <v>40</v>
      </c>
      <c r="E78" t="s">
        <v>36</v>
      </c>
      <c r="F78" t="s">
        <v>175</v>
      </c>
      <c r="G78" t="s">
        <v>59</v>
      </c>
      <c r="H78" t="s">
        <v>60</v>
      </c>
      <c r="I78" t="s">
        <v>58</v>
      </c>
      <c r="J78" t="s">
        <v>152</v>
      </c>
      <c r="K78" s="17">
        <v>4</v>
      </c>
      <c r="L78" s="5">
        <v>247</v>
      </c>
      <c r="M78" s="5">
        <v>155</v>
      </c>
      <c r="N78" s="6">
        <v>0</v>
      </c>
      <c r="O78" s="15">
        <f>Sales[[#This Row],[Quantity]]*Sales[[#This Row],[Unit Price]]*(1-Sales[[#This Row],[Discount Rate]])</f>
        <v>988</v>
      </c>
      <c r="P78" s="15">
        <f>Sales[[#This Row],[Unit Cost]]*Sales[[#This Row],[Quantity]]</f>
        <v>620</v>
      </c>
      <c r="Q78" s="15">
        <f>Sales[[#This Row],[Revenue]]-Sales[[#This Row],[Product cost]]</f>
        <v>368</v>
      </c>
      <c r="R78" s="21">
        <f>Sales[[#This Row],[Gross Profit]]/Sales[[#This Row],[Revenue]]</f>
        <v>0.37246963562753038</v>
      </c>
    </row>
    <row r="79" spans="1:18">
      <c r="A79" t="s">
        <v>251</v>
      </c>
      <c r="B79" s="4">
        <v>46202</v>
      </c>
      <c r="C79" t="s">
        <v>39</v>
      </c>
      <c r="D79" t="s">
        <v>40</v>
      </c>
      <c r="E79" t="s">
        <v>36</v>
      </c>
      <c r="F79" t="s">
        <v>171</v>
      </c>
      <c r="G79" t="s">
        <v>106</v>
      </c>
      <c r="H79" t="s">
        <v>107</v>
      </c>
      <c r="I79" t="s">
        <v>58</v>
      </c>
      <c r="J79" t="s">
        <v>151</v>
      </c>
      <c r="K79" s="17">
        <v>4</v>
      </c>
      <c r="L79" s="5">
        <v>260</v>
      </c>
      <c r="M79" s="5">
        <v>155</v>
      </c>
      <c r="N79" s="6">
        <v>0.1</v>
      </c>
      <c r="O79" s="15">
        <f>Sales[[#This Row],[Quantity]]*Sales[[#This Row],[Unit Price]]*(1-Sales[[#This Row],[Discount Rate]])</f>
        <v>936</v>
      </c>
      <c r="P79" s="15">
        <f>Sales[[#This Row],[Unit Cost]]*Sales[[#This Row],[Quantity]]</f>
        <v>620</v>
      </c>
      <c r="Q79" s="15">
        <f>Sales[[#This Row],[Revenue]]-Sales[[#This Row],[Product cost]]</f>
        <v>316</v>
      </c>
      <c r="R79" s="21">
        <f>Sales[[#This Row],[Gross Profit]]/Sales[[#This Row],[Revenue]]</f>
        <v>0.33760683760683763</v>
      </c>
    </row>
    <row r="80" spans="1:18">
      <c r="A80" t="s">
        <v>252</v>
      </c>
      <c r="B80" s="4">
        <v>46024</v>
      </c>
      <c r="C80" t="s">
        <v>39</v>
      </c>
      <c r="D80" t="s">
        <v>40</v>
      </c>
      <c r="E80" t="s">
        <v>36</v>
      </c>
      <c r="F80" t="s">
        <v>178</v>
      </c>
      <c r="G80" t="s">
        <v>134</v>
      </c>
      <c r="H80" t="s">
        <v>135</v>
      </c>
      <c r="I80" t="s">
        <v>63</v>
      </c>
      <c r="J80" t="s">
        <v>151</v>
      </c>
      <c r="K80" s="17">
        <v>4</v>
      </c>
      <c r="L80" s="5">
        <v>273</v>
      </c>
      <c r="M80" s="5">
        <v>155</v>
      </c>
      <c r="N80" s="6">
        <v>0.15</v>
      </c>
      <c r="O80" s="15">
        <f>Sales[[#This Row],[Quantity]]*Sales[[#This Row],[Unit Price]]*(1-Sales[[#This Row],[Discount Rate]])</f>
        <v>928.19999999999993</v>
      </c>
      <c r="P80" s="15">
        <f>Sales[[#This Row],[Unit Cost]]*Sales[[#This Row],[Quantity]]</f>
        <v>620</v>
      </c>
      <c r="Q80" s="15">
        <f>Sales[[#This Row],[Revenue]]-Sales[[#This Row],[Product cost]]</f>
        <v>308.19999999999993</v>
      </c>
      <c r="R80" s="21">
        <f>Sales[[#This Row],[Gross Profit]]/Sales[[#This Row],[Revenue]]</f>
        <v>0.33204050851109668</v>
      </c>
    </row>
    <row r="81" spans="1:18">
      <c r="A81" t="s">
        <v>253</v>
      </c>
      <c r="B81" s="4">
        <v>46134</v>
      </c>
      <c r="C81" t="s">
        <v>39</v>
      </c>
      <c r="D81" t="s">
        <v>40</v>
      </c>
      <c r="E81" t="s">
        <v>36</v>
      </c>
      <c r="F81" t="s">
        <v>173</v>
      </c>
      <c r="G81" t="s">
        <v>78</v>
      </c>
      <c r="H81" t="s">
        <v>79</v>
      </c>
      <c r="I81" t="s">
        <v>58</v>
      </c>
      <c r="J81" t="s">
        <v>150</v>
      </c>
      <c r="K81" s="17">
        <v>4</v>
      </c>
      <c r="L81" s="5">
        <v>273</v>
      </c>
      <c r="M81" s="5">
        <v>155</v>
      </c>
      <c r="N81" s="6">
        <v>0.15</v>
      </c>
      <c r="O81" s="15">
        <f>Sales[[#This Row],[Quantity]]*Sales[[#This Row],[Unit Price]]*(1-Sales[[#This Row],[Discount Rate]])</f>
        <v>928.19999999999993</v>
      </c>
      <c r="P81" s="15">
        <f>Sales[[#This Row],[Unit Cost]]*Sales[[#This Row],[Quantity]]</f>
        <v>620</v>
      </c>
      <c r="Q81" s="15">
        <f>Sales[[#This Row],[Revenue]]-Sales[[#This Row],[Product cost]]</f>
        <v>308.19999999999993</v>
      </c>
      <c r="R81" s="21">
        <f>Sales[[#This Row],[Gross Profit]]/Sales[[#This Row],[Revenue]]</f>
        <v>0.33204050851109668</v>
      </c>
    </row>
    <row r="82" spans="1:18">
      <c r="A82" t="s">
        <v>254</v>
      </c>
      <c r="B82" s="4">
        <v>46113</v>
      </c>
      <c r="C82" t="s">
        <v>39</v>
      </c>
      <c r="D82" t="s">
        <v>40</v>
      </c>
      <c r="E82" t="s">
        <v>36</v>
      </c>
      <c r="F82" t="s">
        <v>175</v>
      </c>
      <c r="G82" t="s">
        <v>122</v>
      </c>
      <c r="H82" t="s">
        <v>123</v>
      </c>
      <c r="I82" t="s">
        <v>63</v>
      </c>
      <c r="J82" t="s">
        <v>150</v>
      </c>
      <c r="K82" s="17">
        <v>4</v>
      </c>
      <c r="L82" s="5">
        <v>260</v>
      </c>
      <c r="M82" s="5">
        <v>155</v>
      </c>
      <c r="N82" s="6">
        <v>0.15</v>
      </c>
      <c r="O82" s="15">
        <f>Sales[[#This Row],[Quantity]]*Sales[[#This Row],[Unit Price]]*(1-Sales[[#This Row],[Discount Rate]])</f>
        <v>884</v>
      </c>
      <c r="P82" s="15">
        <f>Sales[[#This Row],[Unit Cost]]*Sales[[#This Row],[Quantity]]</f>
        <v>620</v>
      </c>
      <c r="Q82" s="15">
        <f>Sales[[#This Row],[Revenue]]-Sales[[#This Row],[Product cost]]</f>
        <v>264</v>
      </c>
      <c r="R82" s="21">
        <f>Sales[[#This Row],[Gross Profit]]/Sales[[#This Row],[Revenue]]</f>
        <v>0.29864253393665158</v>
      </c>
    </row>
    <row r="83" spans="1:18">
      <c r="A83" t="s">
        <v>255</v>
      </c>
      <c r="B83" s="4">
        <v>46096</v>
      </c>
      <c r="C83" t="s">
        <v>48</v>
      </c>
      <c r="D83" t="s">
        <v>49</v>
      </c>
      <c r="E83" t="s">
        <v>50</v>
      </c>
      <c r="F83" t="s">
        <v>173</v>
      </c>
      <c r="G83" t="s">
        <v>74</v>
      </c>
      <c r="H83" t="s">
        <v>75</v>
      </c>
      <c r="I83" t="s">
        <v>63</v>
      </c>
      <c r="J83" t="s">
        <v>153</v>
      </c>
      <c r="K83" s="17">
        <v>6</v>
      </c>
      <c r="L83" s="5">
        <v>170</v>
      </c>
      <c r="M83" s="5">
        <v>95</v>
      </c>
      <c r="N83" s="6">
        <v>0.15</v>
      </c>
      <c r="O83" s="15">
        <f>Sales[[#This Row],[Quantity]]*Sales[[#This Row],[Unit Price]]*(1-Sales[[#This Row],[Discount Rate]])</f>
        <v>867</v>
      </c>
      <c r="P83" s="15">
        <f>Sales[[#This Row],[Unit Cost]]*Sales[[#This Row],[Quantity]]</f>
        <v>570</v>
      </c>
      <c r="Q83" s="15">
        <f>Sales[[#This Row],[Revenue]]-Sales[[#This Row],[Product cost]]</f>
        <v>297</v>
      </c>
      <c r="R83" s="21">
        <f>Sales[[#This Row],[Gross Profit]]/Sales[[#This Row],[Revenue]]</f>
        <v>0.34256055363321797</v>
      </c>
    </row>
    <row r="84" spans="1:18">
      <c r="A84" t="s">
        <v>256</v>
      </c>
      <c r="B84" s="4">
        <v>46153</v>
      </c>
      <c r="C84" t="s">
        <v>51</v>
      </c>
      <c r="D84" t="s">
        <v>52</v>
      </c>
      <c r="E84" t="s">
        <v>50</v>
      </c>
      <c r="F84" t="s">
        <v>175</v>
      </c>
      <c r="G84" t="s">
        <v>92</v>
      </c>
      <c r="H84" t="s">
        <v>93</v>
      </c>
      <c r="I84" t="s">
        <v>63</v>
      </c>
      <c r="J84" t="s">
        <v>153</v>
      </c>
      <c r="K84" s="17">
        <v>8</v>
      </c>
      <c r="L84" s="5">
        <v>123.5</v>
      </c>
      <c r="M84" s="5">
        <v>65</v>
      </c>
      <c r="N84" s="6">
        <v>0.15</v>
      </c>
      <c r="O84" s="15">
        <f>Sales[[#This Row],[Quantity]]*Sales[[#This Row],[Unit Price]]*(1-Sales[[#This Row],[Discount Rate]])</f>
        <v>839.8</v>
      </c>
      <c r="P84" s="15">
        <f>Sales[[#This Row],[Unit Cost]]*Sales[[#This Row],[Quantity]]</f>
        <v>520</v>
      </c>
      <c r="Q84" s="15">
        <f>Sales[[#This Row],[Revenue]]-Sales[[#This Row],[Product cost]]</f>
        <v>319.79999999999995</v>
      </c>
      <c r="R84" s="21">
        <f>Sales[[#This Row],[Gross Profit]]/Sales[[#This Row],[Revenue]]</f>
        <v>0.38080495356037147</v>
      </c>
    </row>
    <row r="85" spans="1:18">
      <c r="A85" t="s">
        <v>257</v>
      </c>
      <c r="B85" s="4">
        <v>46057</v>
      </c>
      <c r="C85" t="s">
        <v>39</v>
      </c>
      <c r="D85" t="s">
        <v>40</v>
      </c>
      <c r="E85" t="s">
        <v>36</v>
      </c>
      <c r="F85" t="s">
        <v>173</v>
      </c>
      <c r="G85" t="s">
        <v>126</v>
      </c>
      <c r="H85" t="s">
        <v>127</v>
      </c>
      <c r="I85" t="s">
        <v>58</v>
      </c>
      <c r="J85" t="s">
        <v>153</v>
      </c>
      <c r="K85" s="17">
        <v>3</v>
      </c>
      <c r="L85" s="5">
        <v>273</v>
      </c>
      <c r="M85" s="5">
        <v>155</v>
      </c>
      <c r="N85" s="6">
        <v>0</v>
      </c>
      <c r="O85" s="15">
        <f>Sales[[#This Row],[Quantity]]*Sales[[#This Row],[Unit Price]]*(1-Sales[[#This Row],[Discount Rate]])</f>
        <v>819</v>
      </c>
      <c r="P85" s="15">
        <f>Sales[[#This Row],[Unit Cost]]*Sales[[#This Row],[Quantity]]</f>
        <v>465</v>
      </c>
      <c r="Q85" s="15">
        <f>Sales[[#This Row],[Revenue]]-Sales[[#This Row],[Product cost]]</f>
        <v>354</v>
      </c>
      <c r="R85" s="21">
        <f>Sales[[#This Row],[Gross Profit]]/Sales[[#This Row],[Revenue]]</f>
        <v>0.43223443223443225</v>
      </c>
    </row>
    <row r="86" spans="1:18">
      <c r="A86" t="s">
        <v>258</v>
      </c>
      <c r="B86" s="4">
        <v>46124</v>
      </c>
      <c r="C86" t="s">
        <v>51</v>
      </c>
      <c r="D86" t="s">
        <v>52</v>
      </c>
      <c r="E86" t="s">
        <v>50</v>
      </c>
      <c r="F86" t="s">
        <v>175</v>
      </c>
      <c r="G86" t="s">
        <v>80</v>
      </c>
      <c r="H86" t="s">
        <v>81</v>
      </c>
      <c r="I86" t="s">
        <v>63</v>
      </c>
      <c r="J86" t="s">
        <v>154</v>
      </c>
      <c r="K86" s="17">
        <v>7</v>
      </c>
      <c r="L86" s="5">
        <v>130</v>
      </c>
      <c r="M86" s="5">
        <v>65</v>
      </c>
      <c r="N86" s="6">
        <v>0.1</v>
      </c>
      <c r="O86" s="15">
        <f>Sales[[#This Row],[Quantity]]*Sales[[#This Row],[Unit Price]]*(1-Sales[[#This Row],[Discount Rate]])</f>
        <v>819</v>
      </c>
      <c r="P86" s="15">
        <f>Sales[[#This Row],[Unit Cost]]*Sales[[#This Row],[Quantity]]</f>
        <v>455</v>
      </c>
      <c r="Q86" s="15">
        <f>Sales[[#This Row],[Revenue]]-Sales[[#This Row],[Product cost]]</f>
        <v>364</v>
      </c>
      <c r="R86" s="21">
        <f>Sales[[#This Row],[Gross Profit]]/Sales[[#This Row],[Revenue]]</f>
        <v>0.44444444444444442</v>
      </c>
    </row>
    <row r="87" spans="1:18">
      <c r="A87" t="s">
        <v>259</v>
      </c>
      <c r="B87" s="4">
        <v>46043</v>
      </c>
      <c r="C87" t="s">
        <v>39</v>
      </c>
      <c r="D87" t="s">
        <v>40</v>
      </c>
      <c r="E87" t="s">
        <v>36</v>
      </c>
      <c r="F87" t="s">
        <v>178</v>
      </c>
      <c r="G87" t="s">
        <v>114</v>
      </c>
      <c r="H87" t="s">
        <v>115</v>
      </c>
      <c r="I87" t="s">
        <v>58</v>
      </c>
      <c r="J87" t="s">
        <v>151</v>
      </c>
      <c r="K87" s="17">
        <v>3</v>
      </c>
      <c r="L87" s="5">
        <v>273</v>
      </c>
      <c r="M87" s="5">
        <v>155</v>
      </c>
      <c r="N87" s="6">
        <v>0</v>
      </c>
      <c r="O87" s="15">
        <f>Sales[[#This Row],[Quantity]]*Sales[[#This Row],[Unit Price]]*(1-Sales[[#This Row],[Discount Rate]])</f>
        <v>819</v>
      </c>
      <c r="P87" s="15">
        <f>Sales[[#This Row],[Unit Cost]]*Sales[[#This Row],[Quantity]]</f>
        <v>465</v>
      </c>
      <c r="Q87" s="15">
        <f>Sales[[#This Row],[Revenue]]-Sales[[#This Row],[Product cost]]</f>
        <v>354</v>
      </c>
      <c r="R87" s="21">
        <f>Sales[[#This Row],[Gross Profit]]/Sales[[#This Row],[Revenue]]</f>
        <v>0.43223443223443225</v>
      </c>
    </row>
    <row r="88" spans="1:18">
      <c r="A88" t="s">
        <v>260</v>
      </c>
      <c r="B88" s="4">
        <v>46061</v>
      </c>
      <c r="C88" t="s">
        <v>39</v>
      </c>
      <c r="D88" t="s">
        <v>40</v>
      </c>
      <c r="E88" t="s">
        <v>36</v>
      </c>
      <c r="F88" t="s">
        <v>171</v>
      </c>
      <c r="G88" t="s">
        <v>116</v>
      </c>
      <c r="H88" t="s">
        <v>117</v>
      </c>
      <c r="I88" t="s">
        <v>63</v>
      </c>
      <c r="J88" t="s">
        <v>151</v>
      </c>
      <c r="K88" s="17">
        <v>3</v>
      </c>
      <c r="L88" s="5">
        <v>273</v>
      </c>
      <c r="M88" s="5">
        <v>155</v>
      </c>
      <c r="N88" s="6">
        <v>0</v>
      </c>
      <c r="O88" s="15">
        <f>Sales[[#This Row],[Quantity]]*Sales[[#This Row],[Unit Price]]*(1-Sales[[#This Row],[Discount Rate]])</f>
        <v>819</v>
      </c>
      <c r="P88" s="15">
        <f>Sales[[#This Row],[Unit Cost]]*Sales[[#This Row],[Quantity]]</f>
        <v>465</v>
      </c>
      <c r="Q88" s="15">
        <f>Sales[[#This Row],[Revenue]]-Sales[[#This Row],[Product cost]]</f>
        <v>354</v>
      </c>
      <c r="R88" s="21">
        <f>Sales[[#This Row],[Gross Profit]]/Sales[[#This Row],[Revenue]]</f>
        <v>0.43223443223443225</v>
      </c>
    </row>
    <row r="89" spans="1:18">
      <c r="A89" t="s">
        <v>261</v>
      </c>
      <c r="B89" s="4">
        <v>46066</v>
      </c>
      <c r="C89" t="s">
        <v>37</v>
      </c>
      <c r="D89" t="s">
        <v>38</v>
      </c>
      <c r="E89" t="s">
        <v>36</v>
      </c>
      <c r="F89" t="s">
        <v>171</v>
      </c>
      <c r="G89" t="s">
        <v>80</v>
      </c>
      <c r="H89" t="s">
        <v>81</v>
      </c>
      <c r="I89" t="s">
        <v>63</v>
      </c>
      <c r="J89" t="s">
        <v>152</v>
      </c>
      <c r="K89" s="17">
        <v>5</v>
      </c>
      <c r="L89" s="5">
        <v>180</v>
      </c>
      <c r="M89" s="5">
        <v>95</v>
      </c>
      <c r="N89" s="6">
        <v>0.1</v>
      </c>
      <c r="O89" s="15">
        <f>Sales[[#This Row],[Quantity]]*Sales[[#This Row],[Unit Price]]*(1-Sales[[#This Row],[Discount Rate]])</f>
        <v>810</v>
      </c>
      <c r="P89" s="15">
        <f>Sales[[#This Row],[Unit Cost]]*Sales[[#This Row],[Quantity]]</f>
        <v>475</v>
      </c>
      <c r="Q89" s="15">
        <f>Sales[[#This Row],[Revenue]]-Sales[[#This Row],[Product cost]]</f>
        <v>335</v>
      </c>
      <c r="R89" s="21">
        <f>Sales[[#This Row],[Gross Profit]]/Sales[[#This Row],[Revenue]]</f>
        <v>0.41358024691358025</v>
      </c>
    </row>
    <row r="90" spans="1:18">
      <c r="A90" t="s">
        <v>262</v>
      </c>
      <c r="B90" s="4">
        <v>46076</v>
      </c>
      <c r="C90" t="s">
        <v>48</v>
      </c>
      <c r="D90" t="s">
        <v>49</v>
      </c>
      <c r="E90" t="s">
        <v>50</v>
      </c>
      <c r="F90" t="s">
        <v>173</v>
      </c>
      <c r="G90" t="s">
        <v>61</v>
      </c>
      <c r="H90" t="s">
        <v>62</v>
      </c>
      <c r="I90" t="s">
        <v>63</v>
      </c>
      <c r="J90" t="s">
        <v>150</v>
      </c>
      <c r="K90" s="17">
        <v>5</v>
      </c>
      <c r="L90" s="5">
        <v>170</v>
      </c>
      <c r="M90" s="5">
        <v>95</v>
      </c>
      <c r="N90" s="6">
        <v>0.05</v>
      </c>
      <c r="O90" s="15">
        <f>Sales[[#This Row],[Quantity]]*Sales[[#This Row],[Unit Price]]*(1-Sales[[#This Row],[Discount Rate]])</f>
        <v>807.5</v>
      </c>
      <c r="P90" s="15">
        <f>Sales[[#This Row],[Unit Cost]]*Sales[[#This Row],[Quantity]]</f>
        <v>475</v>
      </c>
      <c r="Q90" s="15">
        <f>Sales[[#This Row],[Revenue]]-Sales[[#This Row],[Product cost]]</f>
        <v>332.5</v>
      </c>
      <c r="R90" s="21">
        <f>Sales[[#This Row],[Gross Profit]]/Sales[[#This Row],[Revenue]]</f>
        <v>0.41176470588235292</v>
      </c>
    </row>
    <row r="91" spans="1:18">
      <c r="A91" t="s">
        <v>263</v>
      </c>
      <c r="B91" s="4">
        <v>46033</v>
      </c>
      <c r="C91" t="s">
        <v>39</v>
      </c>
      <c r="D91" t="s">
        <v>40</v>
      </c>
      <c r="E91" t="s">
        <v>36</v>
      </c>
      <c r="F91" t="s">
        <v>178</v>
      </c>
      <c r="G91" t="s">
        <v>59</v>
      </c>
      <c r="H91" t="s">
        <v>60</v>
      </c>
      <c r="I91" t="s">
        <v>58</v>
      </c>
      <c r="J91" t="s">
        <v>150</v>
      </c>
      <c r="K91" s="17">
        <v>3</v>
      </c>
      <c r="L91" s="5">
        <v>260</v>
      </c>
      <c r="M91" s="5">
        <v>155</v>
      </c>
      <c r="N91" s="6">
        <v>0</v>
      </c>
      <c r="O91" s="15">
        <f>Sales[[#This Row],[Quantity]]*Sales[[#This Row],[Unit Price]]*(1-Sales[[#This Row],[Discount Rate]])</f>
        <v>780</v>
      </c>
      <c r="P91" s="15">
        <f>Sales[[#This Row],[Unit Cost]]*Sales[[#This Row],[Quantity]]</f>
        <v>465</v>
      </c>
      <c r="Q91" s="15">
        <f>Sales[[#This Row],[Revenue]]-Sales[[#This Row],[Product cost]]</f>
        <v>315</v>
      </c>
      <c r="R91" s="21">
        <f>Sales[[#This Row],[Gross Profit]]/Sales[[#This Row],[Revenue]]</f>
        <v>0.40384615384615385</v>
      </c>
    </row>
    <row r="92" spans="1:18">
      <c r="A92" t="s">
        <v>264</v>
      </c>
      <c r="B92" s="4">
        <v>46080</v>
      </c>
      <c r="C92" t="s">
        <v>39</v>
      </c>
      <c r="D92" t="s">
        <v>40</v>
      </c>
      <c r="E92" t="s">
        <v>36</v>
      </c>
      <c r="F92" t="s">
        <v>178</v>
      </c>
      <c r="G92" t="s">
        <v>106</v>
      </c>
      <c r="H92" t="s">
        <v>107</v>
      </c>
      <c r="I92" t="s">
        <v>58</v>
      </c>
      <c r="J92" t="s">
        <v>150</v>
      </c>
      <c r="K92" s="17">
        <v>3</v>
      </c>
      <c r="L92" s="5">
        <v>260</v>
      </c>
      <c r="M92" s="5">
        <v>155</v>
      </c>
      <c r="N92" s="6">
        <v>0</v>
      </c>
      <c r="O92" s="15">
        <f>Sales[[#This Row],[Quantity]]*Sales[[#This Row],[Unit Price]]*(1-Sales[[#This Row],[Discount Rate]])</f>
        <v>780</v>
      </c>
      <c r="P92" s="15">
        <f>Sales[[#This Row],[Unit Cost]]*Sales[[#This Row],[Quantity]]</f>
        <v>465</v>
      </c>
      <c r="Q92" s="15">
        <f>Sales[[#This Row],[Revenue]]-Sales[[#This Row],[Product cost]]</f>
        <v>315</v>
      </c>
      <c r="R92" s="21">
        <f>Sales[[#This Row],[Gross Profit]]/Sales[[#This Row],[Revenue]]</f>
        <v>0.40384615384615385</v>
      </c>
    </row>
    <row r="93" spans="1:18">
      <c r="A93" t="s">
        <v>265</v>
      </c>
      <c r="B93" s="4">
        <v>46094</v>
      </c>
      <c r="C93" t="s">
        <v>39</v>
      </c>
      <c r="D93" t="s">
        <v>40</v>
      </c>
      <c r="E93" t="s">
        <v>36</v>
      </c>
      <c r="F93" t="s">
        <v>171</v>
      </c>
      <c r="G93" t="s">
        <v>132</v>
      </c>
      <c r="H93" t="s">
        <v>133</v>
      </c>
      <c r="I93" t="s">
        <v>58</v>
      </c>
      <c r="J93" t="s">
        <v>150</v>
      </c>
      <c r="K93" s="17">
        <v>3</v>
      </c>
      <c r="L93" s="5">
        <v>260</v>
      </c>
      <c r="M93" s="5">
        <v>155</v>
      </c>
      <c r="N93" s="6">
        <v>0</v>
      </c>
      <c r="O93" s="15">
        <f>Sales[[#This Row],[Quantity]]*Sales[[#This Row],[Unit Price]]*(1-Sales[[#This Row],[Discount Rate]])</f>
        <v>780</v>
      </c>
      <c r="P93" s="15">
        <f>Sales[[#This Row],[Unit Cost]]*Sales[[#This Row],[Quantity]]</f>
        <v>465</v>
      </c>
      <c r="Q93" s="15">
        <f>Sales[[#This Row],[Revenue]]-Sales[[#This Row],[Product cost]]</f>
        <v>315</v>
      </c>
      <c r="R93" s="21">
        <f>Sales[[#This Row],[Gross Profit]]/Sales[[#This Row],[Revenue]]</f>
        <v>0.40384615384615385</v>
      </c>
    </row>
    <row r="94" spans="1:18">
      <c r="A94" t="s">
        <v>266</v>
      </c>
      <c r="B94" s="4">
        <v>46128</v>
      </c>
      <c r="C94" t="s">
        <v>51</v>
      </c>
      <c r="D94" t="s">
        <v>52</v>
      </c>
      <c r="E94" t="s">
        <v>50</v>
      </c>
      <c r="F94" t="s">
        <v>178</v>
      </c>
      <c r="G94" t="s">
        <v>86</v>
      </c>
      <c r="H94" t="s">
        <v>87</v>
      </c>
      <c r="I94" t="s">
        <v>63</v>
      </c>
      <c r="J94" t="s">
        <v>150</v>
      </c>
      <c r="K94" s="17">
        <v>6</v>
      </c>
      <c r="L94" s="5">
        <v>130</v>
      </c>
      <c r="M94" s="5">
        <v>65</v>
      </c>
      <c r="N94" s="6">
        <v>0.05</v>
      </c>
      <c r="O94" s="15">
        <f>Sales[[#This Row],[Quantity]]*Sales[[#This Row],[Unit Price]]*(1-Sales[[#This Row],[Discount Rate]])</f>
        <v>741</v>
      </c>
      <c r="P94" s="15">
        <f>Sales[[#This Row],[Unit Cost]]*Sales[[#This Row],[Quantity]]</f>
        <v>390</v>
      </c>
      <c r="Q94" s="15">
        <f>Sales[[#This Row],[Revenue]]-Sales[[#This Row],[Product cost]]</f>
        <v>351</v>
      </c>
      <c r="R94" s="21">
        <f>Sales[[#This Row],[Gross Profit]]/Sales[[#This Row],[Revenue]]</f>
        <v>0.47368421052631576</v>
      </c>
    </row>
    <row r="95" spans="1:18">
      <c r="A95" t="s">
        <v>267</v>
      </c>
      <c r="B95" s="4">
        <v>46070</v>
      </c>
      <c r="C95" t="s">
        <v>37</v>
      </c>
      <c r="D95" t="s">
        <v>38</v>
      </c>
      <c r="E95" t="s">
        <v>36</v>
      </c>
      <c r="F95" t="s">
        <v>175</v>
      </c>
      <c r="G95" t="s">
        <v>120</v>
      </c>
      <c r="H95" t="s">
        <v>121</v>
      </c>
      <c r="I95" t="s">
        <v>58</v>
      </c>
      <c r="J95" t="s">
        <v>152</v>
      </c>
      <c r="K95" s="17">
        <v>4</v>
      </c>
      <c r="L95" s="5">
        <v>180</v>
      </c>
      <c r="M95" s="5">
        <v>95</v>
      </c>
      <c r="N95" s="6">
        <v>0</v>
      </c>
      <c r="O95" s="15">
        <f>Sales[[#This Row],[Quantity]]*Sales[[#This Row],[Unit Price]]*(1-Sales[[#This Row],[Discount Rate]])</f>
        <v>720</v>
      </c>
      <c r="P95" s="15">
        <f>Sales[[#This Row],[Unit Cost]]*Sales[[#This Row],[Quantity]]</f>
        <v>380</v>
      </c>
      <c r="Q95" s="15">
        <f>Sales[[#This Row],[Revenue]]-Sales[[#This Row],[Product cost]]</f>
        <v>340</v>
      </c>
      <c r="R95" s="21">
        <f>Sales[[#This Row],[Gross Profit]]/Sales[[#This Row],[Revenue]]</f>
        <v>0.47222222222222221</v>
      </c>
    </row>
    <row r="96" spans="1:18">
      <c r="A96" t="s">
        <v>268</v>
      </c>
      <c r="B96" s="4">
        <v>46192</v>
      </c>
      <c r="C96" t="s">
        <v>37</v>
      </c>
      <c r="D96" t="s">
        <v>38</v>
      </c>
      <c r="E96" t="s">
        <v>36</v>
      </c>
      <c r="F96" t="s">
        <v>173</v>
      </c>
      <c r="G96" t="s">
        <v>120</v>
      </c>
      <c r="H96" t="s">
        <v>121</v>
      </c>
      <c r="I96" t="s">
        <v>58</v>
      </c>
      <c r="J96" t="s">
        <v>153</v>
      </c>
      <c r="K96" s="17">
        <v>4</v>
      </c>
      <c r="L96" s="5">
        <v>180</v>
      </c>
      <c r="M96" s="5">
        <v>95</v>
      </c>
      <c r="N96" s="6">
        <v>0</v>
      </c>
      <c r="O96" s="15">
        <f>Sales[[#This Row],[Quantity]]*Sales[[#This Row],[Unit Price]]*(1-Sales[[#This Row],[Discount Rate]])</f>
        <v>720</v>
      </c>
      <c r="P96" s="15">
        <f>Sales[[#This Row],[Unit Cost]]*Sales[[#This Row],[Quantity]]</f>
        <v>380</v>
      </c>
      <c r="Q96" s="15">
        <f>Sales[[#This Row],[Revenue]]-Sales[[#This Row],[Product cost]]</f>
        <v>340</v>
      </c>
      <c r="R96" s="21">
        <f>Sales[[#This Row],[Gross Profit]]/Sales[[#This Row],[Revenue]]</f>
        <v>0.47222222222222221</v>
      </c>
    </row>
    <row r="97" spans="1:18">
      <c r="A97" t="s">
        <v>269</v>
      </c>
      <c r="B97" s="4">
        <v>46143</v>
      </c>
      <c r="C97" t="s">
        <v>37</v>
      </c>
      <c r="D97" t="s">
        <v>38</v>
      </c>
      <c r="E97" t="s">
        <v>36</v>
      </c>
      <c r="F97" t="s">
        <v>175</v>
      </c>
      <c r="G97" t="s">
        <v>98</v>
      </c>
      <c r="H97" t="s">
        <v>99</v>
      </c>
      <c r="I97" t="s">
        <v>63</v>
      </c>
      <c r="J97" t="s">
        <v>151</v>
      </c>
      <c r="K97" s="17">
        <v>4</v>
      </c>
      <c r="L97" s="5">
        <v>180</v>
      </c>
      <c r="M97" s="5">
        <v>95</v>
      </c>
      <c r="N97" s="6">
        <v>0</v>
      </c>
      <c r="O97" s="15">
        <f>Sales[[#This Row],[Quantity]]*Sales[[#This Row],[Unit Price]]*(1-Sales[[#This Row],[Discount Rate]])</f>
        <v>720</v>
      </c>
      <c r="P97" s="15">
        <f>Sales[[#This Row],[Unit Cost]]*Sales[[#This Row],[Quantity]]</f>
        <v>380</v>
      </c>
      <c r="Q97" s="15">
        <f>Sales[[#This Row],[Revenue]]-Sales[[#This Row],[Product cost]]</f>
        <v>340</v>
      </c>
      <c r="R97" s="21">
        <f>Sales[[#This Row],[Gross Profit]]/Sales[[#This Row],[Revenue]]</f>
        <v>0.47222222222222221</v>
      </c>
    </row>
    <row r="98" spans="1:18">
      <c r="A98" t="s">
        <v>270</v>
      </c>
      <c r="B98" s="4">
        <v>46101</v>
      </c>
      <c r="C98" t="s">
        <v>39</v>
      </c>
      <c r="D98" t="s">
        <v>40</v>
      </c>
      <c r="E98" t="s">
        <v>36</v>
      </c>
      <c r="F98" t="s">
        <v>171</v>
      </c>
      <c r="G98" t="s">
        <v>88</v>
      </c>
      <c r="H98" t="s">
        <v>89</v>
      </c>
      <c r="I98" t="s">
        <v>58</v>
      </c>
      <c r="J98" t="s">
        <v>150</v>
      </c>
      <c r="K98" s="17">
        <v>3</v>
      </c>
      <c r="L98" s="5">
        <v>247</v>
      </c>
      <c r="M98" s="5">
        <v>155</v>
      </c>
      <c r="N98" s="6">
        <v>0.05</v>
      </c>
      <c r="O98" s="15">
        <f>Sales[[#This Row],[Quantity]]*Sales[[#This Row],[Unit Price]]*(1-Sales[[#This Row],[Discount Rate]])</f>
        <v>703.94999999999993</v>
      </c>
      <c r="P98" s="15">
        <f>Sales[[#This Row],[Unit Cost]]*Sales[[#This Row],[Quantity]]</f>
        <v>465</v>
      </c>
      <c r="Q98" s="15">
        <f>Sales[[#This Row],[Revenue]]-Sales[[#This Row],[Product cost]]</f>
        <v>238.94999999999993</v>
      </c>
      <c r="R98" s="21">
        <f>Sales[[#This Row],[Gross Profit]]/Sales[[#This Row],[Revenue]]</f>
        <v>0.33944172171318981</v>
      </c>
    </row>
    <row r="99" spans="1:18">
      <c r="A99" t="s">
        <v>271</v>
      </c>
      <c r="B99" s="4">
        <v>46164</v>
      </c>
      <c r="C99" t="s">
        <v>39</v>
      </c>
      <c r="D99" t="s">
        <v>40</v>
      </c>
      <c r="E99" t="s">
        <v>36</v>
      </c>
      <c r="F99" t="s">
        <v>175</v>
      </c>
      <c r="G99" t="s">
        <v>130</v>
      </c>
      <c r="H99" t="s">
        <v>131</v>
      </c>
      <c r="I99" t="s">
        <v>58</v>
      </c>
      <c r="J99" t="s">
        <v>153</v>
      </c>
      <c r="K99" s="17">
        <v>3</v>
      </c>
      <c r="L99" s="5">
        <v>260</v>
      </c>
      <c r="M99" s="5">
        <v>155</v>
      </c>
      <c r="N99" s="6">
        <v>0.1</v>
      </c>
      <c r="O99" s="15">
        <f>Sales[[#This Row],[Quantity]]*Sales[[#This Row],[Unit Price]]*(1-Sales[[#This Row],[Discount Rate]])</f>
        <v>702</v>
      </c>
      <c r="P99" s="15">
        <f>Sales[[#This Row],[Unit Cost]]*Sales[[#This Row],[Quantity]]</f>
        <v>465</v>
      </c>
      <c r="Q99" s="15">
        <f>Sales[[#This Row],[Revenue]]-Sales[[#This Row],[Product cost]]</f>
        <v>237</v>
      </c>
      <c r="R99" s="21">
        <f>Sales[[#This Row],[Gross Profit]]/Sales[[#This Row],[Revenue]]</f>
        <v>0.33760683760683763</v>
      </c>
    </row>
    <row r="100" spans="1:18">
      <c r="A100" t="s">
        <v>272</v>
      </c>
      <c r="B100" s="4">
        <v>46198</v>
      </c>
      <c r="C100" t="s">
        <v>39</v>
      </c>
      <c r="D100" t="s">
        <v>40</v>
      </c>
      <c r="E100" t="s">
        <v>36</v>
      </c>
      <c r="F100" t="s">
        <v>175</v>
      </c>
      <c r="G100" t="s">
        <v>94</v>
      </c>
      <c r="H100" t="s">
        <v>95</v>
      </c>
      <c r="I100" t="s">
        <v>58</v>
      </c>
      <c r="J100" t="s">
        <v>153</v>
      </c>
      <c r="K100" s="17">
        <v>3</v>
      </c>
      <c r="L100" s="5">
        <v>260</v>
      </c>
      <c r="M100" s="5">
        <v>155</v>
      </c>
      <c r="N100" s="6">
        <v>0.1</v>
      </c>
      <c r="O100" s="15">
        <f>Sales[[#This Row],[Quantity]]*Sales[[#This Row],[Unit Price]]*(1-Sales[[#This Row],[Discount Rate]])</f>
        <v>702</v>
      </c>
      <c r="P100" s="15">
        <f>Sales[[#This Row],[Unit Cost]]*Sales[[#This Row],[Quantity]]</f>
        <v>465</v>
      </c>
      <c r="Q100" s="15">
        <f>Sales[[#This Row],[Revenue]]-Sales[[#This Row],[Product cost]]</f>
        <v>237</v>
      </c>
      <c r="R100" s="21">
        <f>Sales[[#This Row],[Gross Profit]]/Sales[[#This Row],[Revenue]]</f>
        <v>0.33760683760683763</v>
      </c>
    </row>
    <row r="101" spans="1:18">
      <c r="A101" t="s">
        <v>273</v>
      </c>
      <c r="B101" s="4">
        <v>46183</v>
      </c>
      <c r="C101" t="s">
        <v>48</v>
      </c>
      <c r="D101" t="s">
        <v>49</v>
      </c>
      <c r="E101" t="s">
        <v>50</v>
      </c>
      <c r="F101" t="s">
        <v>171</v>
      </c>
      <c r="G101" t="s">
        <v>110</v>
      </c>
      <c r="H101" t="s">
        <v>111</v>
      </c>
      <c r="I101" t="s">
        <v>63</v>
      </c>
      <c r="J101" t="s">
        <v>153</v>
      </c>
      <c r="K101" s="17">
        <v>5</v>
      </c>
      <c r="L101" s="5">
        <v>161.5</v>
      </c>
      <c r="M101" s="5">
        <v>95</v>
      </c>
      <c r="N101" s="6">
        <v>0.15</v>
      </c>
      <c r="O101" s="15">
        <f>Sales[[#This Row],[Quantity]]*Sales[[#This Row],[Unit Price]]*(1-Sales[[#This Row],[Discount Rate]])</f>
        <v>686.375</v>
      </c>
      <c r="P101" s="15">
        <f>Sales[[#This Row],[Unit Cost]]*Sales[[#This Row],[Quantity]]</f>
        <v>475</v>
      </c>
      <c r="Q101" s="15">
        <f>Sales[[#This Row],[Revenue]]-Sales[[#This Row],[Product cost]]</f>
        <v>211.375</v>
      </c>
      <c r="R101" s="21">
        <f>Sales[[#This Row],[Gross Profit]]/Sales[[#This Row],[Revenue]]</f>
        <v>0.30795847750865052</v>
      </c>
    </row>
    <row r="102" spans="1:18">
      <c r="A102" t="s">
        <v>274</v>
      </c>
      <c r="B102" s="4">
        <v>46179</v>
      </c>
      <c r="C102" t="s">
        <v>37</v>
      </c>
      <c r="D102" t="s">
        <v>38</v>
      </c>
      <c r="E102" t="s">
        <v>36</v>
      </c>
      <c r="F102" t="s">
        <v>175</v>
      </c>
      <c r="G102" t="s">
        <v>120</v>
      </c>
      <c r="H102" t="s">
        <v>121</v>
      </c>
      <c r="I102" t="s">
        <v>58</v>
      </c>
      <c r="J102" t="s">
        <v>150</v>
      </c>
      <c r="K102" s="17">
        <v>4</v>
      </c>
      <c r="L102" s="5">
        <v>180</v>
      </c>
      <c r="M102" s="5">
        <v>95</v>
      </c>
      <c r="N102" s="6">
        <v>0.05</v>
      </c>
      <c r="O102" s="15">
        <f>Sales[[#This Row],[Quantity]]*Sales[[#This Row],[Unit Price]]*(1-Sales[[#This Row],[Discount Rate]])</f>
        <v>684</v>
      </c>
      <c r="P102" s="15">
        <f>Sales[[#This Row],[Unit Cost]]*Sales[[#This Row],[Quantity]]</f>
        <v>380</v>
      </c>
      <c r="Q102" s="15">
        <f>Sales[[#This Row],[Revenue]]-Sales[[#This Row],[Product cost]]</f>
        <v>304</v>
      </c>
      <c r="R102" s="21">
        <f>Sales[[#This Row],[Gross Profit]]/Sales[[#This Row],[Revenue]]</f>
        <v>0.44444444444444442</v>
      </c>
    </row>
    <row r="103" spans="1:18">
      <c r="A103" t="s">
        <v>275</v>
      </c>
      <c r="B103" s="4">
        <v>46096</v>
      </c>
      <c r="C103" t="s">
        <v>37</v>
      </c>
      <c r="D103" t="s">
        <v>38</v>
      </c>
      <c r="E103" t="s">
        <v>36</v>
      </c>
      <c r="F103" t="s">
        <v>171</v>
      </c>
      <c r="G103" t="s">
        <v>82</v>
      </c>
      <c r="H103" t="s">
        <v>83</v>
      </c>
      <c r="I103" t="s">
        <v>58</v>
      </c>
      <c r="J103" t="s">
        <v>150</v>
      </c>
      <c r="K103" s="17">
        <v>4</v>
      </c>
      <c r="L103" s="5">
        <v>180</v>
      </c>
      <c r="M103" s="5">
        <v>95</v>
      </c>
      <c r="N103" s="6">
        <v>0.05</v>
      </c>
      <c r="O103" s="15">
        <f>Sales[[#This Row],[Quantity]]*Sales[[#This Row],[Unit Price]]*(1-Sales[[#This Row],[Discount Rate]])</f>
        <v>684</v>
      </c>
      <c r="P103" s="15">
        <f>Sales[[#This Row],[Unit Cost]]*Sales[[#This Row],[Quantity]]</f>
        <v>380</v>
      </c>
      <c r="Q103" s="15">
        <f>Sales[[#This Row],[Revenue]]-Sales[[#This Row],[Product cost]]</f>
        <v>304</v>
      </c>
      <c r="R103" s="21">
        <f>Sales[[#This Row],[Gross Profit]]/Sales[[#This Row],[Revenue]]</f>
        <v>0.44444444444444442</v>
      </c>
    </row>
    <row r="104" spans="1:18">
      <c r="A104" t="s">
        <v>276</v>
      </c>
      <c r="B104" s="4">
        <v>46141</v>
      </c>
      <c r="C104" t="s">
        <v>37</v>
      </c>
      <c r="D104" t="s">
        <v>38</v>
      </c>
      <c r="E104" t="s">
        <v>36</v>
      </c>
      <c r="F104" t="s">
        <v>178</v>
      </c>
      <c r="G104" t="s">
        <v>124</v>
      </c>
      <c r="H104" t="s">
        <v>125</v>
      </c>
      <c r="I104" t="s">
        <v>58</v>
      </c>
      <c r="J104" t="s">
        <v>152</v>
      </c>
      <c r="K104" s="17">
        <v>4</v>
      </c>
      <c r="L104" s="5">
        <v>180</v>
      </c>
      <c r="M104" s="5">
        <v>95</v>
      </c>
      <c r="N104" s="6">
        <v>0.05</v>
      </c>
      <c r="O104" s="15">
        <f>Sales[[#This Row],[Quantity]]*Sales[[#This Row],[Unit Price]]*(1-Sales[[#This Row],[Discount Rate]])</f>
        <v>684</v>
      </c>
      <c r="P104" s="15">
        <f>Sales[[#This Row],[Unit Cost]]*Sales[[#This Row],[Quantity]]</f>
        <v>380</v>
      </c>
      <c r="Q104" s="15">
        <f>Sales[[#This Row],[Revenue]]-Sales[[#This Row],[Product cost]]</f>
        <v>304</v>
      </c>
      <c r="R104" s="21">
        <f>Sales[[#This Row],[Gross Profit]]/Sales[[#This Row],[Revenue]]</f>
        <v>0.44444444444444442</v>
      </c>
    </row>
    <row r="105" spans="1:18">
      <c r="A105" t="s">
        <v>277</v>
      </c>
      <c r="B105" s="4">
        <v>46163</v>
      </c>
      <c r="C105" t="s">
        <v>37</v>
      </c>
      <c r="D105" t="s">
        <v>38</v>
      </c>
      <c r="E105" t="s">
        <v>36</v>
      </c>
      <c r="F105" t="s">
        <v>178</v>
      </c>
      <c r="G105" t="s">
        <v>118</v>
      </c>
      <c r="H105" t="s">
        <v>119</v>
      </c>
      <c r="I105" t="s">
        <v>58</v>
      </c>
      <c r="J105" t="s">
        <v>151</v>
      </c>
      <c r="K105" s="17">
        <v>4</v>
      </c>
      <c r="L105" s="5">
        <v>189</v>
      </c>
      <c r="M105" s="5">
        <v>95</v>
      </c>
      <c r="N105" s="6">
        <v>0.1</v>
      </c>
      <c r="O105" s="15">
        <f>Sales[[#This Row],[Quantity]]*Sales[[#This Row],[Unit Price]]*(1-Sales[[#This Row],[Discount Rate]])</f>
        <v>680.4</v>
      </c>
      <c r="P105" s="15">
        <f>Sales[[#This Row],[Unit Cost]]*Sales[[#This Row],[Quantity]]</f>
        <v>380</v>
      </c>
      <c r="Q105" s="15">
        <f>Sales[[#This Row],[Revenue]]-Sales[[#This Row],[Product cost]]</f>
        <v>300.39999999999998</v>
      </c>
      <c r="R105" s="21">
        <f>Sales[[#This Row],[Gross Profit]]/Sales[[#This Row],[Revenue]]</f>
        <v>0.44150499706055257</v>
      </c>
    </row>
    <row r="106" spans="1:18">
      <c r="A106" t="s">
        <v>278</v>
      </c>
      <c r="B106" s="4">
        <v>46156</v>
      </c>
      <c r="C106" t="s">
        <v>48</v>
      </c>
      <c r="D106" t="s">
        <v>49</v>
      </c>
      <c r="E106" t="s">
        <v>50</v>
      </c>
      <c r="F106" t="s">
        <v>178</v>
      </c>
      <c r="G106" t="s">
        <v>108</v>
      </c>
      <c r="H106" t="s">
        <v>109</v>
      </c>
      <c r="I106" t="s">
        <v>58</v>
      </c>
      <c r="J106" t="s">
        <v>152</v>
      </c>
      <c r="K106" s="17">
        <v>4</v>
      </c>
      <c r="L106" s="5">
        <v>170</v>
      </c>
      <c r="M106" s="5">
        <v>95</v>
      </c>
      <c r="N106" s="6">
        <v>0</v>
      </c>
      <c r="O106" s="15">
        <f>Sales[[#This Row],[Quantity]]*Sales[[#This Row],[Unit Price]]*(1-Sales[[#This Row],[Discount Rate]])</f>
        <v>680</v>
      </c>
      <c r="P106" s="15">
        <f>Sales[[#This Row],[Unit Cost]]*Sales[[#This Row],[Quantity]]</f>
        <v>380</v>
      </c>
      <c r="Q106" s="15">
        <f>Sales[[#This Row],[Revenue]]-Sales[[#This Row],[Product cost]]</f>
        <v>300</v>
      </c>
      <c r="R106" s="21">
        <f>Sales[[#This Row],[Gross Profit]]/Sales[[#This Row],[Revenue]]</f>
        <v>0.44117647058823528</v>
      </c>
    </row>
    <row r="107" spans="1:18">
      <c r="A107" t="s">
        <v>279</v>
      </c>
      <c r="B107" s="4">
        <v>46182</v>
      </c>
      <c r="C107" t="s">
        <v>48</v>
      </c>
      <c r="D107" t="s">
        <v>49</v>
      </c>
      <c r="E107" t="s">
        <v>50</v>
      </c>
      <c r="F107" t="s">
        <v>171</v>
      </c>
      <c r="G107" t="s">
        <v>126</v>
      </c>
      <c r="H107" t="s">
        <v>127</v>
      </c>
      <c r="I107" t="s">
        <v>58</v>
      </c>
      <c r="J107" t="s">
        <v>151</v>
      </c>
      <c r="K107" s="17">
        <v>4</v>
      </c>
      <c r="L107" s="5">
        <v>170</v>
      </c>
      <c r="M107" s="5">
        <v>95</v>
      </c>
      <c r="N107" s="6">
        <v>0</v>
      </c>
      <c r="O107" s="15">
        <f>Sales[[#This Row],[Quantity]]*Sales[[#This Row],[Unit Price]]*(1-Sales[[#This Row],[Discount Rate]])</f>
        <v>680</v>
      </c>
      <c r="P107" s="15">
        <f>Sales[[#This Row],[Unit Cost]]*Sales[[#This Row],[Quantity]]</f>
        <v>380</v>
      </c>
      <c r="Q107" s="15">
        <f>Sales[[#This Row],[Revenue]]-Sales[[#This Row],[Product cost]]</f>
        <v>300</v>
      </c>
      <c r="R107" s="21">
        <f>Sales[[#This Row],[Gross Profit]]/Sales[[#This Row],[Revenue]]</f>
        <v>0.44117647058823528</v>
      </c>
    </row>
    <row r="108" spans="1:18">
      <c r="A108" t="s">
        <v>280</v>
      </c>
      <c r="B108" s="4">
        <v>46121</v>
      </c>
      <c r="C108" t="s">
        <v>39</v>
      </c>
      <c r="D108" t="s">
        <v>40</v>
      </c>
      <c r="E108" t="s">
        <v>36</v>
      </c>
      <c r="F108" t="s">
        <v>173</v>
      </c>
      <c r="G108" t="s">
        <v>100</v>
      </c>
      <c r="H108" t="s">
        <v>101</v>
      </c>
      <c r="I108" t="s">
        <v>58</v>
      </c>
      <c r="J108" t="s">
        <v>151</v>
      </c>
      <c r="K108" s="17">
        <v>3</v>
      </c>
      <c r="L108" s="5">
        <v>260</v>
      </c>
      <c r="M108" s="5">
        <v>155</v>
      </c>
      <c r="N108" s="6">
        <v>0.15</v>
      </c>
      <c r="O108" s="15">
        <f>Sales[[#This Row],[Quantity]]*Sales[[#This Row],[Unit Price]]*(1-Sales[[#This Row],[Discount Rate]])</f>
        <v>663</v>
      </c>
      <c r="P108" s="15">
        <f>Sales[[#This Row],[Unit Cost]]*Sales[[#This Row],[Quantity]]</f>
        <v>465</v>
      </c>
      <c r="Q108" s="15">
        <f>Sales[[#This Row],[Revenue]]-Sales[[#This Row],[Product cost]]</f>
        <v>198</v>
      </c>
      <c r="R108" s="21">
        <f>Sales[[#This Row],[Gross Profit]]/Sales[[#This Row],[Revenue]]</f>
        <v>0.29864253393665158</v>
      </c>
    </row>
    <row r="109" spans="1:18">
      <c r="A109" t="s">
        <v>281</v>
      </c>
      <c r="B109" s="4">
        <v>46117</v>
      </c>
      <c r="C109" t="s">
        <v>34</v>
      </c>
      <c r="D109" t="s">
        <v>35</v>
      </c>
      <c r="E109" t="s">
        <v>36</v>
      </c>
      <c r="F109" t="s">
        <v>173</v>
      </c>
      <c r="G109" t="s">
        <v>59</v>
      </c>
      <c r="H109" t="s">
        <v>60</v>
      </c>
      <c r="I109" t="s">
        <v>58</v>
      </c>
      <c r="J109" t="s">
        <v>150</v>
      </c>
      <c r="K109" s="17">
        <v>1</v>
      </c>
      <c r="L109" s="5">
        <v>650</v>
      </c>
      <c r="M109" s="5">
        <v>430</v>
      </c>
      <c r="N109" s="6">
        <v>0</v>
      </c>
      <c r="O109" s="15">
        <f>Sales[[#This Row],[Quantity]]*Sales[[#This Row],[Unit Price]]*(1-Sales[[#This Row],[Discount Rate]])</f>
        <v>650</v>
      </c>
      <c r="P109" s="15">
        <f>Sales[[#This Row],[Unit Cost]]*Sales[[#This Row],[Quantity]]</f>
        <v>430</v>
      </c>
      <c r="Q109" s="15">
        <f>Sales[[#This Row],[Revenue]]-Sales[[#This Row],[Product cost]]</f>
        <v>220</v>
      </c>
      <c r="R109" s="21">
        <f>Sales[[#This Row],[Gross Profit]]/Sales[[#This Row],[Revenue]]</f>
        <v>0.33846153846153848</v>
      </c>
    </row>
    <row r="110" spans="1:18">
      <c r="A110" t="s">
        <v>282</v>
      </c>
      <c r="B110" s="4">
        <v>46182</v>
      </c>
      <c r="C110" t="s">
        <v>34</v>
      </c>
      <c r="D110" t="s">
        <v>35</v>
      </c>
      <c r="E110" t="s">
        <v>36</v>
      </c>
      <c r="F110" t="s">
        <v>175</v>
      </c>
      <c r="G110" t="s">
        <v>112</v>
      </c>
      <c r="H110" t="s">
        <v>113</v>
      </c>
      <c r="I110" t="s">
        <v>58</v>
      </c>
      <c r="J110" t="s">
        <v>152</v>
      </c>
      <c r="K110" s="17">
        <v>1</v>
      </c>
      <c r="L110" s="5">
        <v>650</v>
      </c>
      <c r="M110" s="5">
        <v>430</v>
      </c>
      <c r="N110" s="6">
        <v>0</v>
      </c>
      <c r="O110" s="15">
        <f>Sales[[#This Row],[Quantity]]*Sales[[#This Row],[Unit Price]]*(1-Sales[[#This Row],[Discount Rate]])</f>
        <v>650</v>
      </c>
      <c r="P110" s="15">
        <f>Sales[[#This Row],[Unit Cost]]*Sales[[#This Row],[Quantity]]</f>
        <v>430</v>
      </c>
      <c r="Q110" s="15">
        <f>Sales[[#This Row],[Revenue]]-Sales[[#This Row],[Product cost]]</f>
        <v>220</v>
      </c>
      <c r="R110" s="21">
        <f>Sales[[#This Row],[Gross Profit]]/Sales[[#This Row],[Revenue]]</f>
        <v>0.33846153846153848</v>
      </c>
    </row>
    <row r="111" spans="1:18">
      <c r="A111" t="s">
        <v>283</v>
      </c>
      <c r="B111" s="4">
        <v>46101</v>
      </c>
      <c r="C111" t="s">
        <v>37</v>
      </c>
      <c r="D111" t="s">
        <v>38</v>
      </c>
      <c r="E111" t="s">
        <v>36</v>
      </c>
      <c r="F111" t="s">
        <v>175</v>
      </c>
      <c r="G111" t="s">
        <v>59</v>
      </c>
      <c r="H111" t="s">
        <v>60</v>
      </c>
      <c r="I111" t="s">
        <v>58</v>
      </c>
      <c r="J111" t="s">
        <v>150</v>
      </c>
      <c r="K111" s="17">
        <v>4</v>
      </c>
      <c r="L111" s="5">
        <v>180</v>
      </c>
      <c r="M111" s="5">
        <v>95</v>
      </c>
      <c r="N111" s="6">
        <v>0.1</v>
      </c>
      <c r="O111" s="15">
        <f>Sales[[#This Row],[Quantity]]*Sales[[#This Row],[Unit Price]]*(1-Sales[[#This Row],[Discount Rate]])</f>
        <v>648</v>
      </c>
      <c r="P111" s="15">
        <f>Sales[[#This Row],[Unit Cost]]*Sales[[#This Row],[Quantity]]</f>
        <v>380</v>
      </c>
      <c r="Q111" s="15">
        <f>Sales[[#This Row],[Revenue]]-Sales[[#This Row],[Product cost]]</f>
        <v>268</v>
      </c>
      <c r="R111" s="21">
        <f>Sales[[#This Row],[Gross Profit]]/Sales[[#This Row],[Revenue]]</f>
        <v>0.41358024691358025</v>
      </c>
    </row>
    <row r="112" spans="1:18">
      <c r="A112" t="s">
        <v>284</v>
      </c>
      <c r="B112" s="4">
        <v>46031</v>
      </c>
      <c r="C112" t="s">
        <v>34</v>
      </c>
      <c r="D112" t="s">
        <v>35</v>
      </c>
      <c r="E112" t="s">
        <v>36</v>
      </c>
      <c r="F112" t="s">
        <v>175</v>
      </c>
      <c r="G112" t="s">
        <v>59</v>
      </c>
      <c r="H112" t="s">
        <v>60</v>
      </c>
      <c r="I112" t="s">
        <v>58</v>
      </c>
      <c r="J112" t="s">
        <v>151</v>
      </c>
      <c r="K112" s="17">
        <v>1</v>
      </c>
      <c r="L112" s="5">
        <v>650</v>
      </c>
      <c r="M112" s="5">
        <v>430</v>
      </c>
      <c r="N112" s="6">
        <v>0.05</v>
      </c>
      <c r="O112" s="15">
        <f>Sales[[#This Row],[Quantity]]*Sales[[#This Row],[Unit Price]]*(1-Sales[[#This Row],[Discount Rate]])</f>
        <v>617.5</v>
      </c>
      <c r="P112" s="15">
        <f>Sales[[#This Row],[Unit Cost]]*Sales[[#This Row],[Quantity]]</f>
        <v>430</v>
      </c>
      <c r="Q112" s="15">
        <f>Sales[[#This Row],[Revenue]]-Sales[[#This Row],[Product cost]]</f>
        <v>187.5</v>
      </c>
      <c r="R112" s="21">
        <f>Sales[[#This Row],[Gross Profit]]/Sales[[#This Row],[Revenue]]</f>
        <v>0.30364372469635625</v>
      </c>
    </row>
    <row r="113" spans="1:18">
      <c r="A113" t="s">
        <v>285</v>
      </c>
      <c r="B113" s="4">
        <v>46146</v>
      </c>
      <c r="C113" t="s">
        <v>51</v>
      </c>
      <c r="D113" t="s">
        <v>52</v>
      </c>
      <c r="E113" t="s">
        <v>50</v>
      </c>
      <c r="F113" t="s">
        <v>173</v>
      </c>
      <c r="G113" t="s">
        <v>110</v>
      </c>
      <c r="H113" t="s">
        <v>111</v>
      </c>
      <c r="I113" t="s">
        <v>63</v>
      </c>
      <c r="J113" t="s">
        <v>152</v>
      </c>
      <c r="K113" s="17">
        <v>5</v>
      </c>
      <c r="L113" s="5">
        <v>136.5</v>
      </c>
      <c r="M113" s="5">
        <v>65</v>
      </c>
      <c r="N113" s="6">
        <v>0.1</v>
      </c>
      <c r="O113" s="15">
        <f>Sales[[#This Row],[Quantity]]*Sales[[#This Row],[Unit Price]]*(1-Sales[[#This Row],[Discount Rate]])</f>
        <v>614.25</v>
      </c>
      <c r="P113" s="15">
        <f>Sales[[#This Row],[Unit Cost]]*Sales[[#This Row],[Quantity]]</f>
        <v>325</v>
      </c>
      <c r="Q113" s="15">
        <f>Sales[[#This Row],[Revenue]]-Sales[[#This Row],[Product cost]]</f>
        <v>289.25</v>
      </c>
      <c r="R113" s="21">
        <f>Sales[[#This Row],[Gross Profit]]/Sales[[#This Row],[Revenue]]</f>
        <v>0.47089947089947087</v>
      </c>
    </row>
    <row r="114" spans="1:18">
      <c r="A114" t="s">
        <v>286</v>
      </c>
      <c r="B114" s="4">
        <v>46189</v>
      </c>
      <c r="C114" t="s">
        <v>34</v>
      </c>
      <c r="D114" t="s">
        <v>35</v>
      </c>
      <c r="E114" t="s">
        <v>36</v>
      </c>
      <c r="F114" t="s">
        <v>171</v>
      </c>
      <c r="G114" t="s">
        <v>98</v>
      </c>
      <c r="H114" t="s">
        <v>99</v>
      </c>
      <c r="I114" t="s">
        <v>63</v>
      </c>
      <c r="J114" t="s">
        <v>151</v>
      </c>
      <c r="K114" s="17">
        <v>1</v>
      </c>
      <c r="L114" s="5">
        <v>682.5</v>
      </c>
      <c r="M114" s="5">
        <v>430</v>
      </c>
      <c r="N114" s="6">
        <v>0.1</v>
      </c>
      <c r="O114" s="15">
        <f>Sales[[#This Row],[Quantity]]*Sales[[#This Row],[Unit Price]]*(1-Sales[[#This Row],[Discount Rate]])</f>
        <v>614.25</v>
      </c>
      <c r="P114" s="15">
        <f>Sales[[#This Row],[Unit Cost]]*Sales[[#This Row],[Quantity]]</f>
        <v>430</v>
      </c>
      <c r="Q114" s="15">
        <f>Sales[[#This Row],[Revenue]]-Sales[[#This Row],[Product cost]]</f>
        <v>184.25</v>
      </c>
      <c r="R114" s="21">
        <f>Sales[[#This Row],[Gross Profit]]/Sales[[#This Row],[Revenue]]</f>
        <v>0.29995929995929999</v>
      </c>
    </row>
    <row r="115" spans="1:18">
      <c r="A115" t="s">
        <v>287</v>
      </c>
      <c r="B115" s="4">
        <v>46029</v>
      </c>
      <c r="C115" t="s">
        <v>37</v>
      </c>
      <c r="D115" t="s">
        <v>38</v>
      </c>
      <c r="E115" t="s">
        <v>36</v>
      </c>
      <c r="F115" t="s">
        <v>173</v>
      </c>
      <c r="G115" t="s">
        <v>114</v>
      </c>
      <c r="H115" t="s">
        <v>115</v>
      </c>
      <c r="I115" t="s">
        <v>58</v>
      </c>
      <c r="J115" t="s">
        <v>153</v>
      </c>
      <c r="K115" s="17">
        <v>4</v>
      </c>
      <c r="L115" s="5">
        <v>180</v>
      </c>
      <c r="M115" s="5">
        <v>95</v>
      </c>
      <c r="N115" s="6">
        <v>0.15</v>
      </c>
      <c r="O115" s="15">
        <f>Sales[[#This Row],[Quantity]]*Sales[[#This Row],[Unit Price]]*(1-Sales[[#This Row],[Discount Rate]])</f>
        <v>612</v>
      </c>
      <c r="P115" s="15">
        <f>Sales[[#This Row],[Unit Cost]]*Sales[[#This Row],[Quantity]]</f>
        <v>380</v>
      </c>
      <c r="Q115" s="15">
        <f>Sales[[#This Row],[Revenue]]-Sales[[#This Row],[Product cost]]</f>
        <v>232</v>
      </c>
      <c r="R115" s="21">
        <f>Sales[[#This Row],[Gross Profit]]/Sales[[#This Row],[Revenue]]</f>
        <v>0.37908496732026142</v>
      </c>
    </row>
    <row r="116" spans="1:18">
      <c r="A116" t="s">
        <v>288</v>
      </c>
      <c r="B116" s="4">
        <v>46064</v>
      </c>
      <c r="C116" t="s">
        <v>37</v>
      </c>
      <c r="D116" t="s">
        <v>38</v>
      </c>
      <c r="E116" t="s">
        <v>36</v>
      </c>
      <c r="F116" t="s">
        <v>178</v>
      </c>
      <c r="G116" t="s">
        <v>114</v>
      </c>
      <c r="H116" t="s">
        <v>115</v>
      </c>
      <c r="I116" t="s">
        <v>58</v>
      </c>
      <c r="J116" t="s">
        <v>151</v>
      </c>
      <c r="K116" s="17">
        <v>4</v>
      </c>
      <c r="L116" s="5">
        <v>180</v>
      </c>
      <c r="M116" s="5">
        <v>95</v>
      </c>
      <c r="N116" s="6">
        <v>0.15</v>
      </c>
      <c r="O116" s="15">
        <f>Sales[[#This Row],[Quantity]]*Sales[[#This Row],[Unit Price]]*(1-Sales[[#This Row],[Discount Rate]])</f>
        <v>612</v>
      </c>
      <c r="P116" s="15">
        <f>Sales[[#This Row],[Unit Cost]]*Sales[[#This Row],[Quantity]]</f>
        <v>380</v>
      </c>
      <c r="Q116" s="15">
        <f>Sales[[#This Row],[Revenue]]-Sales[[#This Row],[Product cost]]</f>
        <v>232</v>
      </c>
      <c r="R116" s="21">
        <f>Sales[[#This Row],[Gross Profit]]/Sales[[#This Row],[Revenue]]</f>
        <v>0.37908496732026142</v>
      </c>
    </row>
    <row r="117" spans="1:18">
      <c r="A117" t="s">
        <v>289</v>
      </c>
      <c r="B117" s="4">
        <v>46025</v>
      </c>
      <c r="C117" t="s">
        <v>37</v>
      </c>
      <c r="D117" t="s">
        <v>38</v>
      </c>
      <c r="E117" t="s">
        <v>36</v>
      </c>
      <c r="F117" t="s">
        <v>173</v>
      </c>
      <c r="G117" t="s">
        <v>124</v>
      </c>
      <c r="H117" t="s">
        <v>125</v>
      </c>
      <c r="I117" t="s">
        <v>58</v>
      </c>
      <c r="J117" t="s">
        <v>150</v>
      </c>
      <c r="K117" s="17">
        <v>4</v>
      </c>
      <c r="L117" s="5">
        <v>180</v>
      </c>
      <c r="M117" s="5">
        <v>95</v>
      </c>
      <c r="N117" s="6">
        <v>0.15</v>
      </c>
      <c r="O117" s="15">
        <f>Sales[[#This Row],[Quantity]]*Sales[[#This Row],[Unit Price]]*(1-Sales[[#This Row],[Discount Rate]])</f>
        <v>612</v>
      </c>
      <c r="P117" s="15">
        <f>Sales[[#This Row],[Unit Cost]]*Sales[[#This Row],[Quantity]]</f>
        <v>380</v>
      </c>
      <c r="Q117" s="15">
        <f>Sales[[#This Row],[Revenue]]-Sales[[#This Row],[Product cost]]</f>
        <v>232</v>
      </c>
      <c r="R117" s="21">
        <f>Sales[[#This Row],[Gross Profit]]/Sales[[#This Row],[Revenue]]</f>
        <v>0.37908496732026142</v>
      </c>
    </row>
    <row r="118" spans="1:18">
      <c r="A118" t="s">
        <v>290</v>
      </c>
      <c r="B118" s="4">
        <v>46070</v>
      </c>
      <c r="C118" t="s">
        <v>48</v>
      </c>
      <c r="D118" t="s">
        <v>49</v>
      </c>
      <c r="E118" t="s">
        <v>50</v>
      </c>
      <c r="F118" t="s">
        <v>171</v>
      </c>
      <c r="G118" t="s">
        <v>84</v>
      </c>
      <c r="H118" t="s">
        <v>85</v>
      </c>
      <c r="I118" t="s">
        <v>58</v>
      </c>
      <c r="J118" t="s">
        <v>150</v>
      </c>
      <c r="K118" s="17">
        <v>4</v>
      </c>
      <c r="L118" s="5">
        <v>178.5</v>
      </c>
      <c r="M118" s="5">
        <v>95</v>
      </c>
      <c r="N118" s="6">
        <v>0.15</v>
      </c>
      <c r="O118" s="15">
        <f>Sales[[#This Row],[Quantity]]*Sales[[#This Row],[Unit Price]]*(1-Sales[[#This Row],[Discount Rate]])</f>
        <v>606.9</v>
      </c>
      <c r="P118" s="15">
        <f>Sales[[#This Row],[Unit Cost]]*Sales[[#This Row],[Quantity]]</f>
        <v>380</v>
      </c>
      <c r="Q118" s="15">
        <f>Sales[[#This Row],[Revenue]]-Sales[[#This Row],[Product cost]]</f>
        <v>226.89999999999998</v>
      </c>
      <c r="R118" s="21">
        <f>Sales[[#This Row],[Gross Profit]]/Sales[[#This Row],[Revenue]]</f>
        <v>0.37386719393639806</v>
      </c>
    </row>
    <row r="119" spans="1:18">
      <c r="A119" t="s">
        <v>291</v>
      </c>
      <c r="B119" s="4">
        <v>46160</v>
      </c>
      <c r="C119" t="s">
        <v>46</v>
      </c>
      <c r="D119" t="s">
        <v>47</v>
      </c>
      <c r="E119" t="s">
        <v>43</v>
      </c>
      <c r="F119" t="s">
        <v>178</v>
      </c>
      <c r="G119" t="s">
        <v>110</v>
      </c>
      <c r="H119" t="s">
        <v>111</v>
      </c>
      <c r="I119" t="s">
        <v>63</v>
      </c>
      <c r="J119" t="s">
        <v>150</v>
      </c>
      <c r="K119" s="17">
        <v>11</v>
      </c>
      <c r="L119" s="5">
        <v>55</v>
      </c>
      <c r="M119" s="5">
        <v>22</v>
      </c>
      <c r="N119" s="6">
        <v>0</v>
      </c>
      <c r="O119" s="15">
        <f>Sales[[#This Row],[Quantity]]*Sales[[#This Row],[Unit Price]]*(1-Sales[[#This Row],[Discount Rate]])</f>
        <v>605</v>
      </c>
      <c r="P119" s="15">
        <f>Sales[[#This Row],[Unit Cost]]*Sales[[#This Row],[Quantity]]</f>
        <v>242</v>
      </c>
      <c r="Q119" s="15">
        <f>Sales[[#This Row],[Revenue]]-Sales[[#This Row],[Product cost]]</f>
        <v>363</v>
      </c>
      <c r="R119" s="21">
        <f>Sales[[#This Row],[Gross Profit]]/Sales[[#This Row],[Revenue]]</f>
        <v>0.6</v>
      </c>
    </row>
    <row r="120" spans="1:18">
      <c r="A120" t="s">
        <v>292</v>
      </c>
      <c r="B120" s="4">
        <v>46148</v>
      </c>
      <c r="C120" t="s">
        <v>46</v>
      </c>
      <c r="D120" t="s">
        <v>47</v>
      </c>
      <c r="E120" t="s">
        <v>43</v>
      </c>
      <c r="F120" t="s">
        <v>173</v>
      </c>
      <c r="G120" t="s">
        <v>68</v>
      </c>
      <c r="H120" t="s">
        <v>69</v>
      </c>
      <c r="I120" t="s">
        <v>63</v>
      </c>
      <c r="J120" t="s">
        <v>151</v>
      </c>
      <c r="K120" s="17">
        <v>12</v>
      </c>
      <c r="L120" s="5">
        <v>52.25</v>
      </c>
      <c r="M120" s="5">
        <v>22</v>
      </c>
      <c r="N120" s="6">
        <v>0.05</v>
      </c>
      <c r="O120" s="15">
        <f>Sales[[#This Row],[Quantity]]*Sales[[#This Row],[Unit Price]]*(1-Sales[[#This Row],[Discount Rate]])</f>
        <v>595.65</v>
      </c>
      <c r="P120" s="15">
        <f>Sales[[#This Row],[Unit Cost]]*Sales[[#This Row],[Quantity]]</f>
        <v>264</v>
      </c>
      <c r="Q120" s="15">
        <f>Sales[[#This Row],[Revenue]]-Sales[[#This Row],[Product cost]]</f>
        <v>331.65</v>
      </c>
      <c r="R120" s="21">
        <f>Sales[[#This Row],[Gross Profit]]/Sales[[#This Row],[Revenue]]</f>
        <v>0.55678670360110805</v>
      </c>
    </row>
    <row r="121" spans="1:18">
      <c r="A121" t="s">
        <v>293</v>
      </c>
      <c r="B121" s="4">
        <v>46112</v>
      </c>
      <c r="C121" t="s">
        <v>34</v>
      </c>
      <c r="D121" t="s">
        <v>35</v>
      </c>
      <c r="E121" t="s">
        <v>36</v>
      </c>
      <c r="F121" t="s">
        <v>175</v>
      </c>
      <c r="G121" t="s">
        <v>70</v>
      </c>
      <c r="H121" t="s">
        <v>71</v>
      </c>
      <c r="I121" t="s">
        <v>58</v>
      </c>
      <c r="J121" t="s">
        <v>150</v>
      </c>
      <c r="K121" s="17">
        <v>1</v>
      </c>
      <c r="L121" s="5">
        <v>682.5</v>
      </c>
      <c r="M121" s="5">
        <v>430</v>
      </c>
      <c r="N121" s="6">
        <v>0.15</v>
      </c>
      <c r="O121" s="15">
        <f>Sales[[#This Row],[Quantity]]*Sales[[#This Row],[Unit Price]]*(1-Sales[[#This Row],[Discount Rate]])</f>
        <v>580.125</v>
      </c>
      <c r="P121" s="15">
        <f>Sales[[#This Row],[Unit Cost]]*Sales[[#This Row],[Quantity]]</f>
        <v>430</v>
      </c>
      <c r="Q121" s="15">
        <f>Sales[[#This Row],[Revenue]]-Sales[[#This Row],[Product cost]]</f>
        <v>150.125</v>
      </c>
      <c r="R121" s="21">
        <f>Sales[[#This Row],[Gross Profit]]/Sales[[#This Row],[Revenue]]</f>
        <v>0.25878043525102351</v>
      </c>
    </row>
    <row r="122" spans="1:18">
      <c r="A122" t="s">
        <v>294</v>
      </c>
      <c r="B122" s="4">
        <v>46044</v>
      </c>
      <c r="C122" t="s">
        <v>46</v>
      </c>
      <c r="D122" t="s">
        <v>47</v>
      </c>
      <c r="E122" t="s">
        <v>43</v>
      </c>
      <c r="F122" t="s">
        <v>175</v>
      </c>
      <c r="G122" t="s">
        <v>80</v>
      </c>
      <c r="H122" t="s">
        <v>81</v>
      </c>
      <c r="I122" t="s">
        <v>63</v>
      </c>
      <c r="J122" t="s">
        <v>151</v>
      </c>
      <c r="K122" s="17">
        <v>11</v>
      </c>
      <c r="L122" s="5">
        <v>52.25</v>
      </c>
      <c r="M122" s="5">
        <v>22</v>
      </c>
      <c r="N122" s="6">
        <v>0</v>
      </c>
      <c r="O122" s="15">
        <f>Sales[[#This Row],[Quantity]]*Sales[[#This Row],[Unit Price]]*(1-Sales[[#This Row],[Discount Rate]])</f>
        <v>574.75</v>
      </c>
      <c r="P122" s="15">
        <f>Sales[[#This Row],[Unit Cost]]*Sales[[#This Row],[Quantity]]</f>
        <v>242</v>
      </c>
      <c r="Q122" s="15">
        <f>Sales[[#This Row],[Revenue]]-Sales[[#This Row],[Product cost]]</f>
        <v>332.75</v>
      </c>
      <c r="R122" s="21">
        <f>Sales[[#This Row],[Gross Profit]]/Sales[[#This Row],[Revenue]]</f>
        <v>0.57894736842105265</v>
      </c>
    </row>
    <row r="123" spans="1:18">
      <c r="A123" t="s">
        <v>295</v>
      </c>
      <c r="B123" s="4">
        <v>46123</v>
      </c>
      <c r="C123" t="s">
        <v>34</v>
      </c>
      <c r="D123" t="s">
        <v>35</v>
      </c>
      <c r="E123" t="s">
        <v>36</v>
      </c>
      <c r="F123" t="s">
        <v>175</v>
      </c>
      <c r="G123" t="s">
        <v>124</v>
      </c>
      <c r="H123" t="s">
        <v>125</v>
      </c>
      <c r="I123" t="s">
        <v>58</v>
      </c>
      <c r="J123" t="s">
        <v>152</v>
      </c>
      <c r="K123" s="17">
        <v>1</v>
      </c>
      <c r="L123" s="5">
        <v>650</v>
      </c>
      <c r="M123" s="5">
        <v>430</v>
      </c>
      <c r="N123" s="6">
        <v>0.15</v>
      </c>
      <c r="O123" s="15">
        <f>Sales[[#This Row],[Quantity]]*Sales[[#This Row],[Unit Price]]*(1-Sales[[#This Row],[Discount Rate]])</f>
        <v>552.5</v>
      </c>
      <c r="P123" s="15">
        <f>Sales[[#This Row],[Unit Cost]]*Sales[[#This Row],[Quantity]]</f>
        <v>430</v>
      </c>
      <c r="Q123" s="15">
        <f>Sales[[#This Row],[Revenue]]-Sales[[#This Row],[Product cost]]</f>
        <v>122.5</v>
      </c>
      <c r="R123" s="21">
        <f>Sales[[#This Row],[Gross Profit]]/Sales[[#This Row],[Revenue]]</f>
        <v>0.22171945701357465</v>
      </c>
    </row>
    <row r="124" spans="1:18">
      <c r="A124" t="s">
        <v>296</v>
      </c>
      <c r="B124" s="4">
        <v>46033</v>
      </c>
      <c r="C124" t="s">
        <v>46</v>
      </c>
      <c r="D124" t="s">
        <v>47</v>
      </c>
      <c r="E124" t="s">
        <v>43</v>
      </c>
      <c r="F124" t="s">
        <v>173</v>
      </c>
      <c r="G124" t="s">
        <v>68</v>
      </c>
      <c r="H124" t="s">
        <v>69</v>
      </c>
      <c r="I124" t="s">
        <v>63</v>
      </c>
      <c r="J124" t="s">
        <v>150</v>
      </c>
      <c r="K124" s="17">
        <v>10</v>
      </c>
      <c r="L124" s="5">
        <v>55</v>
      </c>
      <c r="M124" s="5">
        <v>22</v>
      </c>
      <c r="N124" s="6">
        <v>0</v>
      </c>
      <c r="O124" s="15">
        <f>Sales[[#This Row],[Quantity]]*Sales[[#This Row],[Unit Price]]*(1-Sales[[#This Row],[Discount Rate]])</f>
        <v>550</v>
      </c>
      <c r="P124" s="15">
        <f>Sales[[#This Row],[Unit Cost]]*Sales[[#This Row],[Quantity]]</f>
        <v>220</v>
      </c>
      <c r="Q124" s="15">
        <f>Sales[[#This Row],[Revenue]]-Sales[[#This Row],[Product cost]]</f>
        <v>330</v>
      </c>
      <c r="R124" s="21">
        <f>Sales[[#This Row],[Gross Profit]]/Sales[[#This Row],[Revenue]]</f>
        <v>0.6</v>
      </c>
    </row>
    <row r="125" spans="1:18">
      <c r="A125" t="s">
        <v>297</v>
      </c>
      <c r="B125" s="4">
        <v>46037</v>
      </c>
      <c r="C125" t="s">
        <v>39</v>
      </c>
      <c r="D125" t="s">
        <v>40</v>
      </c>
      <c r="E125" t="s">
        <v>36</v>
      </c>
      <c r="F125" t="s">
        <v>175</v>
      </c>
      <c r="G125" t="s">
        <v>100</v>
      </c>
      <c r="H125" t="s">
        <v>101</v>
      </c>
      <c r="I125" t="s">
        <v>58</v>
      </c>
      <c r="J125" t="s">
        <v>152</v>
      </c>
      <c r="K125" s="17">
        <v>2</v>
      </c>
      <c r="L125" s="5">
        <v>273</v>
      </c>
      <c r="M125" s="5">
        <v>155</v>
      </c>
      <c r="N125" s="6">
        <v>0</v>
      </c>
      <c r="O125" s="15">
        <f>Sales[[#This Row],[Quantity]]*Sales[[#This Row],[Unit Price]]*(1-Sales[[#This Row],[Discount Rate]])</f>
        <v>546</v>
      </c>
      <c r="P125" s="15">
        <f>Sales[[#This Row],[Unit Cost]]*Sales[[#This Row],[Quantity]]</f>
        <v>310</v>
      </c>
      <c r="Q125" s="15">
        <f>Sales[[#This Row],[Revenue]]-Sales[[#This Row],[Product cost]]</f>
        <v>236</v>
      </c>
      <c r="R125" s="21">
        <f>Sales[[#This Row],[Gross Profit]]/Sales[[#This Row],[Revenue]]</f>
        <v>0.43223443223443225</v>
      </c>
    </row>
    <row r="126" spans="1:18">
      <c r="A126" t="s">
        <v>298</v>
      </c>
      <c r="B126" s="4">
        <v>46193</v>
      </c>
      <c r="C126" t="s">
        <v>51</v>
      </c>
      <c r="D126" t="s">
        <v>52</v>
      </c>
      <c r="E126" t="s">
        <v>50</v>
      </c>
      <c r="F126" t="s">
        <v>175</v>
      </c>
      <c r="G126" t="s">
        <v>108</v>
      </c>
      <c r="H126" t="s">
        <v>109</v>
      </c>
      <c r="I126" t="s">
        <v>58</v>
      </c>
      <c r="J126" t="s">
        <v>152</v>
      </c>
      <c r="K126" s="17">
        <v>4</v>
      </c>
      <c r="L126" s="5">
        <v>136.5</v>
      </c>
      <c r="M126" s="5">
        <v>65</v>
      </c>
      <c r="N126" s="6">
        <v>0</v>
      </c>
      <c r="O126" s="15">
        <f>Sales[[#This Row],[Quantity]]*Sales[[#This Row],[Unit Price]]*(1-Sales[[#This Row],[Discount Rate]])</f>
        <v>546</v>
      </c>
      <c r="P126" s="15">
        <f>Sales[[#This Row],[Unit Cost]]*Sales[[#This Row],[Quantity]]</f>
        <v>260</v>
      </c>
      <c r="Q126" s="15">
        <f>Sales[[#This Row],[Revenue]]-Sales[[#This Row],[Product cost]]</f>
        <v>286</v>
      </c>
      <c r="R126" s="21">
        <f>Sales[[#This Row],[Gross Profit]]/Sales[[#This Row],[Revenue]]</f>
        <v>0.52380952380952384</v>
      </c>
    </row>
    <row r="127" spans="1:18">
      <c r="A127" t="s">
        <v>299</v>
      </c>
      <c r="B127" s="4">
        <v>46198</v>
      </c>
      <c r="C127" t="s">
        <v>37</v>
      </c>
      <c r="D127" t="s">
        <v>38</v>
      </c>
      <c r="E127" t="s">
        <v>36</v>
      </c>
      <c r="F127" t="s">
        <v>175</v>
      </c>
      <c r="G127" t="s">
        <v>80</v>
      </c>
      <c r="H127" t="s">
        <v>81</v>
      </c>
      <c r="I127" t="s">
        <v>63</v>
      </c>
      <c r="J127" t="s">
        <v>150</v>
      </c>
      <c r="K127" s="17">
        <v>3</v>
      </c>
      <c r="L127" s="5">
        <v>180</v>
      </c>
      <c r="M127" s="5">
        <v>95</v>
      </c>
      <c r="N127" s="6">
        <v>0</v>
      </c>
      <c r="O127" s="15">
        <f>Sales[[#This Row],[Quantity]]*Sales[[#This Row],[Unit Price]]*(1-Sales[[#This Row],[Discount Rate]])</f>
        <v>540</v>
      </c>
      <c r="P127" s="15">
        <f>Sales[[#This Row],[Unit Cost]]*Sales[[#This Row],[Quantity]]</f>
        <v>285</v>
      </c>
      <c r="Q127" s="15">
        <f>Sales[[#This Row],[Revenue]]-Sales[[#This Row],[Product cost]]</f>
        <v>255</v>
      </c>
      <c r="R127" s="21">
        <f>Sales[[#This Row],[Gross Profit]]/Sales[[#This Row],[Revenue]]</f>
        <v>0.47222222222222221</v>
      </c>
    </row>
    <row r="128" spans="1:18">
      <c r="A128" t="s">
        <v>300</v>
      </c>
      <c r="B128" s="4">
        <v>46150</v>
      </c>
      <c r="C128" t="s">
        <v>37</v>
      </c>
      <c r="D128" t="s">
        <v>38</v>
      </c>
      <c r="E128" t="s">
        <v>36</v>
      </c>
      <c r="F128" t="s">
        <v>173</v>
      </c>
      <c r="G128" t="s">
        <v>124</v>
      </c>
      <c r="H128" t="s">
        <v>125</v>
      </c>
      <c r="I128" t="s">
        <v>58</v>
      </c>
      <c r="J128" t="s">
        <v>153</v>
      </c>
      <c r="K128" s="17">
        <v>3</v>
      </c>
      <c r="L128" s="5">
        <v>180</v>
      </c>
      <c r="M128" s="5">
        <v>95</v>
      </c>
      <c r="N128" s="6">
        <v>0</v>
      </c>
      <c r="O128" s="15">
        <f>Sales[[#This Row],[Quantity]]*Sales[[#This Row],[Unit Price]]*(1-Sales[[#This Row],[Discount Rate]])</f>
        <v>540</v>
      </c>
      <c r="P128" s="15">
        <f>Sales[[#This Row],[Unit Cost]]*Sales[[#This Row],[Quantity]]</f>
        <v>285</v>
      </c>
      <c r="Q128" s="15">
        <f>Sales[[#This Row],[Revenue]]-Sales[[#This Row],[Product cost]]</f>
        <v>255</v>
      </c>
      <c r="R128" s="21">
        <f>Sales[[#This Row],[Gross Profit]]/Sales[[#This Row],[Revenue]]</f>
        <v>0.47222222222222221</v>
      </c>
    </row>
    <row r="129" spans="1:18">
      <c r="A129" t="s">
        <v>301</v>
      </c>
      <c r="B129" s="4">
        <v>46116</v>
      </c>
      <c r="C129" t="s">
        <v>37</v>
      </c>
      <c r="D129" t="s">
        <v>38</v>
      </c>
      <c r="E129" t="s">
        <v>36</v>
      </c>
      <c r="F129" t="s">
        <v>175</v>
      </c>
      <c r="G129" t="s">
        <v>96</v>
      </c>
      <c r="H129" t="s">
        <v>97</v>
      </c>
      <c r="I129" t="s">
        <v>58</v>
      </c>
      <c r="J129" t="s">
        <v>152</v>
      </c>
      <c r="K129" s="17">
        <v>3</v>
      </c>
      <c r="L129" s="5">
        <v>180</v>
      </c>
      <c r="M129" s="5">
        <v>95</v>
      </c>
      <c r="N129" s="6">
        <v>0</v>
      </c>
      <c r="O129" s="15">
        <f>Sales[[#This Row],[Quantity]]*Sales[[#This Row],[Unit Price]]*(1-Sales[[#This Row],[Discount Rate]])</f>
        <v>540</v>
      </c>
      <c r="P129" s="15">
        <f>Sales[[#This Row],[Unit Cost]]*Sales[[#This Row],[Quantity]]</f>
        <v>285</v>
      </c>
      <c r="Q129" s="15">
        <f>Sales[[#This Row],[Revenue]]-Sales[[#This Row],[Product cost]]</f>
        <v>255</v>
      </c>
      <c r="R129" s="21">
        <f>Sales[[#This Row],[Gross Profit]]/Sales[[#This Row],[Revenue]]</f>
        <v>0.47222222222222221</v>
      </c>
    </row>
    <row r="130" spans="1:18">
      <c r="A130" t="s">
        <v>302</v>
      </c>
      <c r="B130" s="4">
        <v>46135</v>
      </c>
      <c r="C130" t="s">
        <v>46</v>
      </c>
      <c r="D130" t="s">
        <v>47</v>
      </c>
      <c r="E130" t="s">
        <v>43</v>
      </c>
      <c r="F130" t="s">
        <v>171</v>
      </c>
      <c r="G130" t="s">
        <v>122</v>
      </c>
      <c r="H130" t="s">
        <v>123</v>
      </c>
      <c r="I130" t="s">
        <v>63</v>
      </c>
      <c r="J130" t="s">
        <v>150</v>
      </c>
      <c r="K130" s="17">
        <v>11</v>
      </c>
      <c r="L130" s="5">
        <v>57.75</v>
      </c>
      <c r="M130" s="5">
        <v>22</v>
      </c>
      <c r="N130" s="6">
        <v>0.15</v>
      </c>
      <c r="O130" s="15">
        <f>Sales[[#This Row],[Quantity]]*Sales[[#This Row],[Unit Price]]*(1-Sales[[#This Row],[Discount Rate]])</f>
        <v>539.96249999999998</v>
      </c>
      <c r="P130" s="15">
        <f>Sales[[#This Row],[Unit Cost]]*Sales[[#This Row],[Quantity]]</f>
        <v>242</v>
      </c>
      <c r="Q130" s="15">
        <f>Sales[[#This Row],[Revenue]]-Sales[[#This Row],[Product cost]]</f>
        <v>297.96249999999998</v>
      </c>
      <c r="R130" s="21">
        <f>Sales[[#This Row],[Gross Profit]]/Sales[[#This Row],[Revenue]]</f>
        <v>0.55182072829131645</v>
      </c>
    </row>
    <row r="131" spans="1:18">
      <c r="A131" t="s">
        <v>303</v>
      </c>
      <c r="B131" s="4">
        <v>46194</v>
      </c>
      <c r="C131" t="s">
        <v>37</v>
      </c>
      <c r="D131" t="s">
        <v>38</v>
      </c>
      <c r="E131" t="s">
        <v>36</v>
      </c>
      <c r="F131" t="s">
        <v>178</v>
      </c>
      <c r="G131" t="s">
        <v>130</v>
      </c>
      <c r="H131" t="s">
        <v>131</v>
      </c>
      <c r="I131" t="s">
        <v>58</v>
      </c>
      <c r="J131" t="s">
        <v>150</v>
      </c>
      <c r="K131" s="17">
        <v>3</v>
      </c>
      <c r="L131" s="5">
        <v>189</v>
      </c>
      <c r="M131" s="5">
        <v>95</v>
      </c>
      <c r="N131" s="6">
        <v>0.05</v>
      </c>
      <c r="O131" s="15">
        <f>Sales[[#This Row],[Quantity]]*Sales[[#This Row],[Unit Price]]*(1-Sales[[#This Row],[Discount Rate]])</f>
        <v>538.65</v>
      </c>
      <c r="P131" s="15">
        <f>Sales[[#This Row],[Unit Cost]]*Sales[[#This Row],[Quantity]]</f>
        <v>285</v>
      </c>
      <c r="Q131" s="15">
        <f>Sales[[#This Row],[Revenue]]-Sales[[#This Row],[Product cost]]</f>
        <v>253.64999999999998</v>
      </c>
      <c r="R131" s="21">
        <f>Sales[[#This Row],[Gross Profit]]/Sales[[#This Row],[Revenue]]</f>
        <v>0.47089947089947087</v>
      </c>
    </row>
    <row r="132" spans="1:18">
      <c r="A132" t="s">
        <v>304</v>
      </c>
      <c r="B132" s="4">
        <v>46172</v>
      </c>
      <c r="C132" t="s">
        <v>48</v>
      </c>
      <c r="D132" t="s">
        <v>49</v>
      </c>
      <c r="E132" t="s">
        <v>50</v>
      </c>
      <c r="F132" t="s">
        <v>171</v>
      </c>
      <c r="G132" t="s">
        <v>124</v>
      </c>
      <c r="H132" t="s">
        <v>125</v>
      </c>
      <c r="I132" t="s">
        <v>58</v>
      </c>
      <c r="J132" t="s">
        <v>151</v>
      </c>
      <c r="K132" s="17">
        <v>3</v>
      </c>
      <c r="L132" s="5">
        <v>178.5</v>
      </c>
      <c r="M132" s="5">
        <v>95</v>
      </c>
      <c r="N132" s="6">
        <v>0</v>
      </c>
      <c r="O132" s="15">
        <f>Sales[[#This Row],[Quantity]]*Sales[[#This Row],[Unit Price]]*(1-Sales[[#This Row],[Discount Rate]])</f>
        <v>535.5</v>
      </c>
      <c r="P132" s="15">
        <f>Sales[[#This Row],[Unit Cost]]*Sales[[#This Row],[Quantity]]</f>
        <v>285</v>
      </c>
      <c r="Q132" s="15">
        <f>Sales[[#This Row],[Revenue]]-Sales[[#This Row],[Product cost]]</f>
        <v>250.5</v>
      </c>
      <c r="R132" s="21">
        <f>Sales[[#This Row],[Gross Profit]]/Sales[[#This Row],[Revenue]]</f>
        <v>0.46778711484593838</v>
      </c>
    </row>
    <row r="133" spans="1:18">
      <c r="A133" t="s">
        <v>305</v>
      </c>
      <c r="B133" s="4">
        <v>46114</v>
      </c>
      <c r="C133" t="s">
        <v>51</v>
      </c>
      <c r="D133" t="s">
        <v>52</v>
      </c>
      <c r="E133" t="s">
        <v>50</v>
      </c>
      <c r="F133" t="s">
        <v>173</v>
      </c>
      <c r="G133" t="s">
        <v>118</v>
      </c>
      <c r="H133" t="s">
        <v>119</v>
      </c>
      <c r="I133" t="s">
        <v>58</v>
      </c>
      <c r="J133" t="s">
        <v>150</v>
      </c>
      <c r="K133" s="17">
        <v>4</v>
      </c>
      <c r="L133" s="5">
        <v>130</v>
      </c>
      <c r="M133" s="5">
        <v>65</v>
      </c>
      <c r="N133" s="6">
        <v>0</v>
      </c>
      <c r="O133" s="15">
        <f>Sales[[#This Row],[Quantity]]*Sales[[#This Row],[Unit Price]]*(1-Sales[[#This Row],[Discount Rate]])</f>
        <v>520</v>
      </c>
      <c r="P133" s="15">
        <f>Sales[[#This Row],[Unit Cost]]*Sales[[#This Row],[Quantity]]</f>
        <v>260</v>
      </c>
      <c r="Q133" s="15">
        <f>Sales[[#This Row],[Revenue]]-Sales[[#This Row],[Product cost]]</f>
        <v>260</v>
      </c>
      <c r="R133" s="21">
        <f>Sales[[#This Row],[Gross Profit]]/Sales[[#This Row],[Revenue]]</f>
        <v>0.5</v>
      </c>
    </row>
    <row r="134" spans="1:18">
      <c r="A134" t="s">
        <v>306</v>
      </c>
      <c r="B134" s="4">
        <v>46116</v>
      </c>
      <c r="C134" t="s">
        <v>39</v>
      </c>
      <c r="D134" t="s">
        <v>40</v>
      </c>
      <c r="E134" t="s">
        <v>36</v>
      </c>
      <c r="F134" t="s">
        <v>175</v>
      </c>
      <c r="G134" t="s">
        <v>68</v>
      </c>
      <c r="H134" t="s">
        <v>69</v>
      </c>
      <c r="I134" t="s">
        <v>63</v>
      </c>
      <c r="J134" t="s">
        <v>151</v>
      </c>
      <c r="K134" s="17">
        <v>2</v>
      </c>
      <c r="L134" s="5">
        <v>260</v>
      </c>
      <c r="M134" s="5">
        <v>155</v>
      </c>
      <c r="N134" s="6">
        <v>0</v>
      </c>
      <c r="O134" s="15">
        <f>Sales[[#This Row],[Quantity]]*Sales[[#This Row],[Unit Price]]*(1-Sales[[#This Row],[Discount Rate]])</f>
        <v>520</v>
      </c>
      <c r="P134" s="15">
        <f>Sales[[#This Row],[Unit Cost]]*Sales[[#This Row],[Quantity]]</f>
        <v>310</v>
      </c>
      <c r="Q134" s="15">
        <f>Sales[[#This Row],[Revenue]]-Sales[[#This Row],[Product cost]]</f>
        <v>210</v>
      </c>
      <c r="R134" s="21">
        <f>Sales[[#This Row],[Gross Profit]]/Sales[[#This Row],[Revenue]]</f>
        <v>0.40384615384615385</v>
      </c>
    </row>
    <row r="135" spans="1:18">
      <c r="A135" t="s">
        <v>307</v>
      </c>
      <c r="B135" s="4">
        <v>46050</v>
      </c>
      <c r="C135" t="s">
        <v>39</v>
      </c>
      <c r="D135" t="s">
        <v>40</v>
      </c>
      <c r="E135" t="s">
        <v>36</v>
      </c>
      <c r="F135" t="s">
        <v>173</v>
      </c>
      <c r="G135" t="s">
        <v>76</v>
      </c>
      <c r="H135" t="s">
        <v>77</v>
      </c>
      <c r="I135" t="s">
        <v>58</v>
      </c>
      <c r="J135" t="s">
        <v>153</v>
      </c>
      <c r="K135" s="17">
        <v>2</v>
      </c>
      <c r="L135" s="5">
        <v>260</v>
      </c>
      <c r="M135" s="5">
        <v>155</v>
      </c>
      <c r="N135" s="6">
        <v>0</v>
      </c>
      <c r="O135" s="15">
        <f>Sales[[#This Row],[Quantity]]*Sales[[#This Row],[Unit Price]]*(1-Sales[[#This Row],[Discount Rate]])</f>
        <v>520</v>
      </c>
      <c r="P135" s="15">
        <f>Sales[[#This Row],[Unit Cost]]*Sales[[#This Row],[Quantity]]</f>
        <v>310</v>
      </c>
      <c r="Q135" s="15">
        <f>Sales[[#This Row],[Revenue]]-Sales[[#This Row],[Product cost]]</f>
        <v>210</v>
      </c>
      <c r="R135" s="21">
        <f>Sales[[#This Row],[Gross Profit]]/Sales[[#This Row],[Revenue]]</f>
        <v>0.40384615384615385</v>
      </c>
    </row>
    <row r="136" spans="1:18">
      <c r="A136" t="s">
        <v>308</v>
      </c>
      <c r="B136" s="4">
        <v>46174</v>
      </c>
      <c r="C136" t="s">
        <v>39</v>
      </c>
      <c r="D136" t="s">
        <v>40</v>
      </c>
      <c r="E136" t="s">
        <v>36</v>
      </c>
      <c r="F136" t="s">
        <v>171</v>
      </c>
      <c r="G136" t="s">
        <v>114</v>
      </c>
      <c r="H136" t="s">
        <v>115</v>
      </c>
      <c r="I136" t="s">
        <v>58</v>
      </c>
      <c r="J136" t="s">
        <v>151</v>
      </c>
      <c r="K136" s="17">
        <v>2</v>
      </c>
      <c r="L136" s="5">
        <v>260</v>
      </c>
      <c r="M136" s="5">
        <v>155</v>
      </c>
      <c r="N136" s="6">
        <v>0</v>
      </c>
      <c r="O136" s="15">
        <f>Sales[[#This Row],[Quantity]]*Sales[[#This Row],[Unit Price]]*(1-Sales[[#This Row],[Discount Rate]])</f>
        <v>520</v>
      </c>
      <c r="P136" s="15">
        <f>Sales[[#This Row],[Unit Cost]]*Sales[[#This Row],[Quantity]]</f>
        <v>310</v>
      </c>
      <c r="Q136" s="15">
        <f>Sales[[#This Row],[Revenue]]-Sales[[#This Row],[Product cost]]</f>
        <v>210</v>
      </c>
      <c r="R136" s="21">
        <f>Sales[[#This Row],[Gross Profit]]/Sales[[#This Row],[Revenue]]</f>
        <v>0.40384615384615385</v>
      </c>
    </row>
    <row r="137" spans="1:18">
      <c r="A137" t="s">
        <v>309</v>
      </c>
      <c r="B137" s="4">
        <v>46058</v>
      </c>
      <c r="C137" t="s">
        <v>48</v>
      </c>
      <c r="D137" t="s">
        <v>49</v>
      </c>
      <c r="E137" t="s">
        <v>50</v>
      </c>
      <c r="F137" t="s">
        <v>171</v>
      </c>
      <c r="G137" t="s">
        <v>90</v>
      </c>
      <c r="H137" t="s">
        <v>91</v>
      </c>
      <c r="I137" t="s">
        <v>58</v>
      </c>
      <c r="J137" t="s">
        <v>150</v>
      </c>
      <c r="K137" s="17">
        <v>3</v>
      </c>
      <c r="L137" s="5">
        <v>170</v>
      </c>
      <c r="M137" s="5">
        <v>95</v>
      </c>
      <c r="N137" s="6">
        <v>0</v>
      </c>
      <c r="O137" s="15">
        <f>Sales[[#This Row],[Quantity]]*Sales[[#This Row],[Unit Price]]*(1-Sales[[#This Row],[Discount Rate]])</f>
        <v>510</v>
      </c>
      <c r="P137" s="15">
        <f>Sales[[#This Row],[Unit Cost]]*Sales[[#This Row],[Quantity]]</f>
        <v>285</v>
      </c>
      <c r="Q137" s="15">
        <f>Sales[[#This Row],[Revenue]]-Sales[[#This Row],[Product cost]]</f>
        <v>225</v>
      </c>
      <c r="R137" s="21">
        <f>Sales[[#This Row],[Gross Profit]]/Sales[[#This Row],[Revenue]]</f>
        <v>0.44117647058823528</v>
      </c>
    </row>
    <row r="138" spans="1:18">
      <c r="A138" t="s">
        <v>310</v>
      </c>
      <c r="B138" s="4">
        <v>46118</v>
      </c>
      <c r="C138" t="s">
        <v>48</v>
      </c>
      <c r="D138" t="s">
        <v>49</v>
      </c>
      <c r="E138" t="s">
        <v>50</v>
      </c>
      <c r="F138" t="s">
        <v>175</v>
      </c>
      <c r="G138" t="s">
        <v>90</v>
      </c>
      <c r="H138" t="s">
        <v>91</v>
      </c>
      <c r="I138" t="s">
        <v>58</v>
      </c>
      <c r="J138" t="s">
        <v>152</v>
      </c>
      <c r="K138" s="17">
        <v>3</v>
      </c>
      <c r="L138" s="5">
        <v>170</v>
      </c>
      <c r="M138" s="5">
        <v>95</v>
      </c>
      <c r="N138" s="6">
        <v>0</v>
      </c>
      <c r="O138" s="15">
        <f>Sales[[#This Row],[Quantity]]*Sales[[#This Row],[Unit Price]]*(1-Sales[[#This Row],[Discount Rate]])</f>
        <v>510</v>
      </c>
      <c r="P138" s="15">
        <f>Sales[[#This Row],[Unit Cost]]*Sales[[#This Row],[Quantity]]</f>
        <v>285</v>
      </c>
      <c r="Q138" s="15">
        <f>Sales[[#This Row],[Revenue]]-Sales[[#This Row],[Product cost]]</f>
        <v>225</v>
      </c>
      <c r="R138" s="21">
        <f>Sales[[#This Row],[Gross Profit]]/Sales[[#This Row],[Revenue]]</f>
        <v>0.44117647058823528</v>
      </c>
    </row>
    <row r="139" spans="1:18">
      <c r="A139" t="s">
        <v>311</v>
      </c>
      <c r="B139" s="4">
        <v>46190</v>
      </c>
      <c r="C139" t="s">
        <v>46</v>
      </c>
      <c r="D139" t="s">
        <v>47</v>
      </c>
      <c r="E139" t="s">
        <v>43</v>
      </c>
      <c r="F139" t="s">
        <v>175</v>
      </c>
      <c r="G139" t="s">
        <v>128</v>
      </c>
      <c r="H139" t="s">
        <v>129</v>
      </c>
      <c r="I139" t="s">
        <v>63</v>
      </c>
      <c r="J139" t="s">
        <v>150</v>
      </c>
      <c r="K139" s="17">
        <v>9</v>
      </c>
      <c r="L139" s="5">
        <v>55</v>
      </c>
      <c r="M139" s="5">
        <v>22</v>
      </c>
      <c r="N139" s="6">
        <v>0</v>
      </c>
      <c r="O139" s="15">
        <f>Sales[[#This Row],[Quantity]]*Sales[[#This Row],[Unit Price]]*(1-Sales[[#This Row],[Discount Rate]])</f>
        <v>495</v>
      </c>
      <c r="P139" s="15">
        <f>Sales[[#This Row],[Unit Cost]]*Sales[[#This Row],[Quantity]]</f>
        <v>198</v>
      </c>
      <c r="Q139" s="15">
        <f>Sales[[#This Row],[Revenue]]-Sales[[#This Row],[Product cost]]</f>
        <v>297</v>
      </c>
      <c r="R139" s="21">
        <f>Sales[[#This Row],[Gross Profit]]/Sales[[#This Row],[Revenue]]</f>
        <v>0.6</v>
      </c>
    </row>
    <row r="140" spans="1:18">
      <c r="A140" t="s">
        <v>312</v>
      </c>
      <c r="B140" s="4">
        <v>46107</v>
      </c>
      <c r="C140" t="s">
        <v>51</v>
      </c>
      <c r="D140" t="s">
        <v>52</v>
      </c>
      <c r="E140" t="s">
        <v>50</v>
      </c>
      <c r="F140" t="s">
        <v>175</v>
      </c>
      <c r="G140" t="s">
        <v>110</v>
      </c>
      <c r="H140" t="s">
        <v>111</v>
      </c>
      <c r="I140" t="s">
        <v>63</v>
      </c>
      <c r="J140" t="s">
        <v>150</v>
      </c>
      <c r="K140" s="17">
        <v>4</v>
      </c>
      <c r="L140" s="5">
        <v>123.5</v>
      </c>
      <c r="M140" s="5">
        <v>65</v>
      </c>
      <c r="N140" s="6">
        <v>0</v>
      </c>
      <c r="O140" s="15">
        <f>Sales[[#This Row],[Quantity]]*Sales[[#This Row],[Unit Price]]*(1-Sales[[#This Row],[Discount Rate]])</f>
        <v>494</v>
      </c>
      <c r="P140" s="15">
        <f>Sales[[#This Row],[Unit Cost]]*Sales[[#This Row],[Quantity]]</f>
        <v>260</v>
      </c>
      <c r="Q140" s="15">
        <f>Sales[[#This Row],[Revenue]]-Sales[[#This Row],[Product cost]]</f>
        <v>234</v>
      </c>
      <c r="R140" s="21">
        <f>Sales[[#This Row],[Gross Profit]]/Sales[[#This Row],[Revenue]]</f>
        <v>0.47368421052631576</v>
      </c>
    </row>
    <row r="141" spans="1:18">
      <c r="A141" t="s">
        <v>313</v>
      </c>
      <c r="B141" s="4">
        <v>46120</v>
      </c>
      <c r="C141" t="s">
        <v>39</v>
      </c>
      <c r="D141" t="s">
        <v>40</v>
      </c>
      <c r="E141" t="s">
        <v>36</v>
      </c>
      <c r="F141" t="s">
        <v>171</v>
      </c>
      <c r="G141" t="s">
        <v>90</v>
      </c>
      <c r="H141" t="s">
        <v>91</v>
      </c>
      <c r="I141" t="s">
        <v>58</v>
      </c>
      <c r="J141" t="s">
        <v>153</v>
      </c>
      <c r="K141" s="17">
        <v>2</v>
      </c>
      <c r="L141" s="5">
        <v>260</v>
      </c>
      <c r="M141" s="5">
        <v>155</v>
      </c>
      <c r="N141" s="6">
        <v>0.05</v>
      </c>
      <c r="O141" s="15">
        <f>Sales[[#This Row],[Quantity]]*Sales[[#This Row],[Unit Price]]*(1-Sales[[#This Row],[Discount Rate]])</f>
        <v>494</v>
      </c>
      <c r="P141" s="15">
        <f>Sales[[#This Row],[Unit Cost]]*Sales[[#This Row],[Quantity]]</f>
        <v>310</v>
      </c>
      <c r="Q141" s="15">
        <f>Sales[[#This Row],[Revenue]]-Sales[[#This Row],[Product cost]]</f>
        <v>184</v>
      </c>
      <c r="R141" s="21">
        <f>Sales[[#This Row],[Gross Profit]]/Sales[[#This Row],[Revenue]]</f>
        <v>0.37246963562753038</v>
      </c>
    </row>
    <row r="142" spans="1:18">
      <c r="A142" t="s">
        <v>314</v>
      </c>
      <c r="B142" s="4">
        <v>46137</v>
      </c>
      <c r="C142" t="s">
        <v>51</v>
      </c>
      <c r="D142" t="s">
        <v>52</v>
      </c>
      <c r="E142" t="s">
        <v>50</v>
      </c>
      <c r="F142" t="s">
        <v>178</v>
      </c>
      <c r="G142" t="s">
        <v>78</v>
      </c>
      <c r="H142" t="s">
        <v>79</v>
      </c>
      <c r="I142" t="s">
        <v>58</v>
      </c>
      <c r="J142" t="s">
        <v>153</v>
      </c>
      <c r="K142" s="17">
        <v>4</v>
      </c>
      <c r="L142" s="5">
        <v>130</v>
      </c>
      <c r="M142" s="5">
        <v>65</v>
      </c>
      <c r="N142" s="6">
        <v>0.05</v>
      </c>
      <c r="O142" s="15">
        <f>Sales[[#This Row],[Quantity]]*Sales[[#This Row],[Unit Price]]*(1-Sales[[#This Row],[Discount Rate]])</f>
        <v>494</v>
      </c>
      <c r="P142" s="15">
        <f>Sales[[#This Row],[Unit Cost]]*Sales[[#This Row],[Quantity]]</f>
        <v>260</v>
      </c>
      <c r="Q142" s="15">
        <f>Sales[[#This Row],[Revenue]]-Sales[[#This Row],[Product cost]]</f>
        <v>234</v>
      </c>
      <c r="R142" s="21">
        <f>Sales[[#This Row],[Gross Profit]]/Sales[[#This Row],[Revenue]]</f>
        <v>0.47368421052631576</v>
      </c>
    </row>
    <row r="143" spans="1:18">
      <c r="A143" t="s">
        <v>315</v>
      </c>
      <c r="B143" s="4">
        <v>46116</v>
      </c>
      <c r="C143" t="s">
        <v>51</v>
      </c>
      <c r="D143" t="s">
        <v>52</v>
      </c>
      <c r="E143" t="s">
        <v>50</v>
      </c>
      <c r="F143" t="s">
        <v>175</v>
      </c>
      <c r="G143" t="s">
        <v>84</v>
      </c>
      <c r="H143" t="s">
        <v>85</v>
      </c>
      <c r="I143" t="s">
        <v>58</v>
      </c>
      <c r="J143" t="s">
        <v>151</v>
      </c>
      <c r="K143" s="17">
        <v>4</v>
      </c>
      <c r="L143" s="5">
        <v>130</v>
      </c>
      <c r="M143" s="5">
        <v>65</v>
      </c>
      <c r="N143" s="6">
        <v>0.05</v>
      </c>
      <c r="O143" s="15">
        <f>Sales[[#This Row],[Quantity]]*Sales[[#This Row],[Unit Price]]*(1-Sales[[#This Row],[Discount Rate]])</f>
        <v>494</v>
      </c>
      <c r="P143" s="15">
        <f>Sales[[#This Row],[Unit Cost]]*Sales[[#This Row],[Quantity]]</f>
        <v>260</v>
      </c>
      <c r="Q143" s="15">
        <f>Sales[[#This Row],[Revenue]]-Sales[[#This Row],[Product cost]]</f>
        <v>234</v>
      </c>
      <c r="R143" s="21">
        <f>Sales[[#This Row],[Gross Profit]]/Sales[[#This Row],[Revenue]]</f>
        <v>0.47368421052631576</v>
      </c>
    </row>
    <row r="144" spans="1:18">
      <c r="A144" t="s">
        <v>316</v>
      </c>
      <c r="B144" s="4">
        <v>46156</v>
      </c>
      <c r="C144" t="s">
        <v>51</v>
      </c>
      <c r="D144" t="s">
        <v>52</v>
      </c>
      <c r="E144" t="s">
        <v>50</v>
      </c>
      <c r="F144" t="s">
        <v>173</v>
      </c>
      <c r="G144" t="s">
        <v>114</v>
      </c>
      <c r="H144" t="s">
        <v>115</v>
      </c>
      <c r="I144" t="s">
        <v>58</v>
      </c>
      <c r="J144" t="s">
        <v>153</v>
      </c>
      <c r="K144" s="17">
        <v>4</v>
      </c>
      <c r="L144" s="5">
        <v>130</v>
      </c>
      <c r="M144" s="5">
        <v>65</v>
      </c>
      <c r="N144" s="6">
        <v>0.05</v>
      </c>
      <c r="O144" s="15">
        <f>Sales[[#This Row],[Quantity]]*Sales[[#This Row],[Unit Price]]*(1-Sales[[#This Row],[Discount Rate]])</f>
        <v>494</v>
      </c>
      <c r="P144" s="15">
        <f>Sales[[#This Row],[Unit Cost]]*Sales[[#This Row],[Quantity]]</f>
        <v>260</v>
      </c>
      <c r="Q144" s="15">
        <f>Sales[[#This Row],[Revenue]]-Sales[[#This Row],[Product cost]]</f>
        <v>234</v>
      </c>
      <c r="R144" s="21">
        <f>Sales[[#This Row],[Gross Profit]]/Sales[[#This Row],[Revenue]]</f>
        <v>0.47368421052631576</v>
      </c>
    </row>
    <row r="145" spans="1:18">
      <c r="A145" t="s">
        <v>317</v>
      </c>
      <c r="B145" s="4">
        <v>46197</v>
      </c>
      <c r="C145" t="s">
        <v>51</v>
      </c>
      <c r="D145" t="s">
        <v>52</v>
      </c>
      <c r="E145" t="s">
        <v>50</v>
      </c>
      <c r="F145" t="s">
        <v>178</v>
      </c>
      <c r="G145" t="s">
        <v>74</v>
      </c>
      <c r="H145" t="s">
        <v>75</v>
      </c>
      <c r="I145" t="s">
        <v>63</v>
      </c>
      <c r="J145" t="s">
        <v>153</v>
      </c>
      <c r="K145" s="17">
        <v>4</v>
      </c>
      <c r="L145" s="5">
        <v>130</v>
      </c>
      <c r="M145" s="5">
        <v>65</v>
      </c>
      <c r="N145" s="6">
        <v>0.05</v>
      </c>
      <c r="O145" s="15">
        <f>Sales[[#This Row],[Quantity]]*Sales[[#This Row],[Unit Price]]*(1-Sales[[#This Row],[Discount Rate]])</f>
        <v>494</v>
      </c>
      <c r="P145" s="15">
        <f>Sales[[#This Row],[Unit Cost]]*Sales[[#This Row],[Quantity]]</f>
        <v>260</v>
      </c>
      <c r="Q145" s="15">
        <f>Sales[[#This Row],[Revenue]]-Sales[[#This Row],[Product cost]]</f>
        <v>234</v>
      </c>
      <c r="R145" s="21">
        <f>Sales[[#This Row],[Gross Profit]]/Sales[[#This Row],[Revenue]]</f>
        <v>0.47368421052631576</v>
      </c>
    </row>
    <row r="146" spans="1:18">
      <c r="A146" t="s">
        <v>318</v>
      </c>
      <c r="B146" s="4">
        <v>46078</v>
      </c>
      <c r="C146" t="s">
        <v>51</v>
      </c>
      <c r="D146" t="s">
        <v>52</v>
      </c>
      <c r="E146" t="s">
        <v>50</v>
      </c>
      <c r="F146" t="s">
        <v>173</v>
      </c>
      <c r="G146" t="s">
        <v>88</v>
      </c>
      <c r="H146" t="s">
        <v>89</v>
      </c>
      <c r="I146" t="s">
        <v>58</v>
      </c>
      <c r="J146" t="s">
        <v>151</v>
      </c>
      <c r="K146" s="17">
        <v>4</v>
      </c>
      <c r="L146" s="5">
        <v>123.5</v>
      </c>
      <c r="M146" s="5">
        <f>_xlfn.XLOOKUP(C146, 'Product Reference'!$A$2:$A$9, 'Product Reference'!$D$2:$D$9, "Not Found")</f>
        <v>65</v>
      </c>
      <c r="N146" s="6">
        <v>0</v>
      </c>
      <c r="O146" s="15">
        <f>Sales[[#This Row],[Quantity]]*Sales[[#This Row],[Unit Price]]*(1-Sales[[#This Row],[Discount Rate]])</f>
        <v>494</v>
      </c>
      <c r="P146" s="15">
        <f>Sales[[#This Row],[Unit Cost]]*Sales[[#This Row],[Quantity]]</f>
        <v>260</v>
      </c>
      <c r="Q146" s="15">
        <f>Sales[[#This Row],[Revenue]]-Sales[[#This Row],[Product cost]]</f>
        <v>234</v>
      </c>
      <c r="R146" s="21">
        <f>Sales[[#This Row],[Gross Profit]]/Sales[[#This Row],[Revenue]]</f>
        <v>0.47368421052631576</v>
      </c>
    </row>
    <row r="147" spans="1:18">
      <c r="A147" t="s">
        <v>319</v>
      </c>
      <c r="B147" s="4">
        <v>46106</v>
      </c>
      <c r="C147" t="s">
        <v>39</v>
      </c>
      <c r="D147" t="s">
        <v>40</v>
      </c>
      <c r="E147" t="s">
        <v>36</v>
      </c>
      <c r="F147" t="s">
        <v>171</v>
      </c>
      <c r="G147" t="s">
        <v>64</v>
      </c>
      <c r="H147" t="s">
        <v>65</v>
      </c>
      <c r="I147" t="s">
        <v>58</v>
      </c>
      <c r="J147" t="s">
        <v>150</v>
      </c>
      <c r="K147" s="17">
        <v>2</v>
      </c>
      <c r="L147" s="5">
        <v>273</v>
      </c>
      <c r="M147" s="5">
        <v>155</v>
      </c>
      <c r="N147" s="6">
        <v>0.1</v>
      </c>
      <c r="O147" s="15">
        <f>Sales[[#This Row],[Quantity]]*Sales[[#This Row],[Unit Price]]*(1-Sales[[#This Row],[Discount Rate]])</f>
        <v>491.40000000000003</v>
      </c>
      <c r="P147" s="15">
        <f>Sales[[#This Row],[Unit Cost]]*Sales[[#This Row],[Quantity]]</f>
        <v>310</v>
      </c>
      <c r="Q147" s="15">
        <f>Sales[[#This Row],[Revenue]]-Sales[[#This Row],[Product cost]]</f>
        <v>181.40000000000003</v>
      </c>
      <c r="R147" s="21">
        <f>Sales[[#This Row],[Gross Profit]]/Sales[[#This Row],[Revenue]]</f>
        <v>0.36914936914936919</v>
      </c>
    </row>
    <row r="148" spans="1:18">
      <c r="A148" t="s">
        <v>320</v>
      </c>
      <c r="B148" s="4">
        <v>46089</v>
      </c>
      <c r="C148" t="s">
        <v>39</v>
      </c>
      <c r="D148" t="s">
        <v>40</v>
      </c>
      <c r="E148" t="s">
        <v>36</v>
      </c>
      <c r="F148" t="s">
        <v>178</v>
      </c>
      <c r="G148" t="s">
        <v>112</v>
      </c>
      <c r="H148" t="s">
        <v>113</v>
      </c>
      <c r="I148" t="s">
        <v>58</v>
      </c>
      <c r="J148" t="s">
        <v>152</v>
      </c>
      <c r="K148" s="17">
        <v>2</v>
      </c>
      <c r="L148" s="5">
        <v>273</v>
      </c>
      <c r="M148" s="5">
        <v>155</v>
      </c>
      <c r="N148" s="6">
        <v>0.1</v>
      </c>
      <c r="O148" s="15">
        <f>Sales[[#This Row],[Quantity]]*Sales[[#This Row],[Unit Price]]*(1-Sales[[#This Row],[Discount Rate]])</f>
        <v>491.40000000000003</v>
      </c>
      <c r="P148" s="15">
        <f>Sales[[#This Row],[Unit Cost]]*Sales[[#This Row],[Quantity]]</f>
        <v>310</v>
      </c>
      <c r="Q148" s="15">
        <f>Sales[[#This Row],[Revenue]]-Sales[[#This Row],[Product cost]]</f>
        <v>181.40000000000003</v>
      </c>
      <c r="R148" s="21">
        <f>Sales[[#This Row],[Gross Profit]]/Sales[[#This Row],[Revenue]]</f>
        <v>0.36914936914936919</v>
      </c>
    </row>
    <row r="149" spans="1:18">
      <c r="A149" t="s">
        <v>321</v>
      </c>
      <c r="B149" s="4">
        <v>46125</v>
      </c>
      <c r="C149" t="s">
        <v>37</v>
      </c>
      <c r="D149" t="s">
        <v>38</v>
      </c>
      <c r="E149" t="s">
        <v>36</v>
      </c>
      <c r="F149" t="s">
        <v>173</v>
      </c>
      <c r="G149" t="s">
        <v>102</v>
      </c>
      <c r="H149" t="s">
        <v>103</v>
      </c>
      <c r="I149" t="s">
        <v>58</v>
      </c>
      <c r="J149" t="s">
        <v>150</v>
      </c>
      <c r="K149" s="17">
        <v>3</v>
      </c>
      <c r="L149" s="5">
        <v>171</v>
      </c>
      <c r="M149" s="5">
        <v>95</v>
      </c>
      <c r="N149" s="6">
        <v>0.05</v>
      </c>
      <c r="O149" s="15">
        <f>Sales[[#This Row],[Quantity]]*Sales[[#This Row],[Unit Price]]*(1-Sales[[#This Row],[Discount Rate]])</f>
        <v>487.34999999999997</v>
      </c>
      <c r="P149" s="15">
        <f>Sales[[#This Row],[Unit Cost]]*Sales[[#This Row],[Quantity]]</f>
        <v>285</v>
      </c>
      <c r="Q149" s="15">
        <f>Sales[[#This Row],[Revenue]]-Sales[[#This Row],[Product cost]]</f>
        <v>202.34999999999997</v>
      </c>
      <c r="R149" s="21">
        <f>Sales[[#This Row],[Gross Profit]]/Sales[[#This Row],[Revenue]]</f>
        <v>0.41520467836257308</v>
      </c>
    </row>
    <row r="150" spans="1:18">
      <c r="A150" t="s">
        <v>322</v>
      </c>
      <c r="B150" s="4">
        <v>46199</v>
      </c>
      <c r="C150" t="s">
        <v>37</v>
      </c>
      <c r="D150" t="s">
        <v>38</v>
      </c>
      <c r="E150" t="s">
        <v>36</v>
      </c>
      <c r="F150" t="s">
        <v>178</v>
      </c>
      <c r="G150" t="s">
        <v>82</v>
      </c>
      <c r="H150" t="s">
        <v>83</v>
      </c>
      <c r="I150" t="s">
        <v>58</v>
      </c>
      <c r="J150" t="s">
        <v>150</v>
      </c>
      <c r="K150" s="17">
        <v>3</v>
      </c>
      <c r="L150" s="5">
        <v>171</v>
      </c>
      <c r="M150" s="5">
        <v>95</v>
      </c>
      <c r="N150" s="6">
        <v>0.05</v>
      </c>
      <c r="O150" s="15">
        <f>Sales[[#This Row],[Quantity]]*Sales[[#This Row],[Unit Price]]*(1-Sales[[#This Row],[Discount Rate]])</f>
        <v>487.34999999999997</v>
      </c>
      <c r="P150" s="15">
        <f>Sales[[#This Row],[Unit Cost]]*Sales[[#This Row],[Quantity]]</f>
        <v>285</v>
      </c>
      <c r="Q150" s="15">
        <f>Sales[[#This Row],[Revenue]]-Sales[[#This Row],[Product cost]]</f>
        <v>202.34999999999997</v>
      </c>
      <c r="R150" s="21">
        <f>Sales[[#This Row],[Gross Profit]]/Sales[[#This Row],[Revenue]]</f>
        <v>0.41520467836257308</v>
      </c>
    </row>
    <row r="151" spans="1:18">
      <c r="A151" t="s">
        <v>323</v>
      </c>
      <c r="B151" s="4">
        <v>46140</v>
      </c>
      <c r="C151" t="s">
        <v>39</v>
      </c>
      <c r="D151" t="s">
        <v>40</v>
      </c>
      <c r="E151" t="s">
        <v>36</v>
      </c>
      <c r="F151" t="s">
        <v>173</v>
      </c>
      <c r="G151" t="s">
        <v>84</v>
      </c>
      <c r="H151" t="s">
        <v>85</v>
      </c>
      <c r="I151" t="s">
        <v>58</v>
      </c>
      <c r="J151" t="s">
        <v>152</v>
      </c>
      <c r="K151" s="17">
        <v>2</v>
      </c>
      <c r="L151" s="5">
        <v>260</v>
      </c>
      <c r="M151" s="5">
        <v>155</v>
      </c>
      <c r="N151" s="6">
        <v>0.1</v>
      </c>
      <c r="O151" s="15">
        <f>Sales[[#This Row],[Quantity]]*Sales[[#This Row],[Unit Price]]*(1-Sales[[#This Row],[Discount Rate]])</f>
        <v>468</v>
      </c>
      <c r="P151" s="15">
        <f>Sales[[#This Row],[Unit Cost]]*Sales[[#This Row],[Quantity]]</f>
        <v>310</v>
      </c>
      <c r="Q151" s="15">
        <f>Sales[[#This Row],[Revenue]]-Sales[[#This Row],[Product cost]]</f>
        <v>158</v>
      </c>
      <c r="R151" s="21">
        <f>Sales[[#This Row],[Gross Profit]]/Sales[[#This Row],[Revenue]]</f>
        <v>0.33760683760683763</v>
      </c>
    </row>
    <row r="152" spans="1:18">
      <c r="A152" t="s">
        <v>324</v>
      </c>
      <c r="B152" s="4">
        <v>46126</v>
      </c>
      <c r="C152" t="s">
        <v>51</v>
      </c>
      <c r="D152" t="s">
        <v>52</v>
      </c>
      <c r="E152" t="s">
        <v>50</v>
      </c>
      <c r="F152" t="s">
        <v>178</v>
      </c>
      <c r="G152" t="s">
        <v>102</v>
      </c>
      <c r="H152" t="s">
        <v>103</v>
      </c>
      <c r="I152" t="s">
        <v>58</v>
      </c>
      <c r="J152" t="s">
        <v>150</v>
      </c>
      <c r="K152" s="17">
        <v>4</v>
      </c>
      <c r="L152" s="5">
        <v>130</v>
      </c>
      <c r="M152" s="5">
        <v>65</v>
      </c>
      <c r="N152" s="6">
        <v>0.1</v>
      </c>
      <c r="O152" s="15">
        <f>Sales[[#This Row],[Quantity]]*Sales[[#This Row],[Unit Price]]*(1-Sales[[#This Row],[Discount Rate]])</f>
        <v>468</v>
      </c>
      <c r="P152" s="15">
        <f>Sales[[#This Row],[Unit Cost]]*Sales[[#This Row],[Quantity]]</f>
        <v>260</v>
      </c>
      <c r="Q152" s="15">
        <f>Sales[[#This Row],[Revenue]]-Sales[[#This Row],[Product cost]]</f>
        <v>208</v>
      </c>
      <c r="R152" s="21">
        <f>Sales[[#This Row],[Gross Profit]]/Sales[[#This Row],[Revenue]]</f>
        <v>0.44444444444444442</v>
      </c>
    </row>
    <row r="153" spans="1:18">
      <c r="A153" t="s">
        <v>325</v>
      </c>
      <c r="B153" s="4">
        <v>46129</v>
      </c>
      <c r="C153" t="s">
        <v>46</v>
      </c>
      <c r="D153" t="s">
        <v>47</v>
      </c>
      <c r="E153" t="s">
        <v>43</v>
      </c>
      <c r="F153" t="s">
        <v>178</v>
      </c>
      <c r="G153" t="s">
        <v>74</v>
      </c>
      <c r="H153" t="s">
        <v>75</v>
      </c>
      <c r="I153" t="s">
        <v>63</v>
      </c>
      <c r="J153" t="s">
        <v>154</v>
      </c>
      <c r="K153" s="17">
        <v>9</v>
      </c>
      <c r="L153" s="5">
        <v>57.75</v>
      </c>
      <c r="M153" s="5">
        <v>22</v>
      </c>
      <c r="N153" s="6">
        <v>0.1</v>
      </c>
      <c r="O153" s="15">
        <f>Sales[[#This Row],[Quantity]]*Sales[[#This Row],[Unit Price]]*(1-Sales[[#This Row],[Discount Rate]])</f>
        <v>467.77500000000003</v>
      </c>
      <c r="P153" s="15">
        <f>Sales[[#This Row],[Unit Cost]]*Sales[[#This Row],[Quantity]]</f>
        <v>198</v>
      </c>
      <c r="Q153" s="15">
        <f>Sales[[#This Row],[Revenue]]-Sales[[#This Row],[Product cost]]</f>
        <v>269.77500000000003</v>
      </c>
      <c r="R153" s="21">
        <f>Sales[[#This Row],[Gross Profit]]/Sales[[#This Row],[Revenue]]</f>
        <v>0.57671957671957674</v>
      </c>
    </row>
    <row r="154" spans="1:18">
      <c r="A154" t="s">
        <v>326</v>
      </c>
      <c r="B154" s="4">
        <v>46160</v>
      </c>
      <c r="C154" t="s">
        <v>39</v>
      </c>
      <c r="D154" t="s">
        <v>40</v>
      </c>
      <c r="E154" t="s">
        <v>36</v>
      </c>
      <c r="F154" t="s">
        <v>171</v>
      </c>
      <c r="G154" t="s">
        <v>114</v>
      </c>
      <c r="H154" t="s">
        <v>115</v>
      </c>
      <c r="I154" t="s">
        <v>58</v>
      </c>
      <c r="J154" t="s">
        <v>150</v>
      </c>
      <c r="K154" s="17">
        <v>2</v>
      </c>
      <c r="L154" s="5">
        <v>273</v>
      </c>
      <c r="M154" s="5">
        <v>155</v>
      </c>
      <c r="N154" s="6">
        <v>0.15</v>
      </c>
      <c r="O154" s="15">
        <f>Sales[[#This Row],[Quantity]]*Sales[[#This Row],[Unit Price]]*(1-Sales[[#This Row],[Discount Rate]])</f>
        <v>464.09999999999997</v>
      </c>
      <c r="P154" s="15">
        <f>Sales[[#This Row],[Unit Cost]]*Sales[[#This Row],[Quantity]]</f>
        <v>310</v>
      </c>
      <c r="Q154" s="15">
        <f>Sales[[#This Row],[Revenue]]-Sales[[#This Row],[Product cost]]</f>
        <v>154.09999999999997</v>
      </c>
      <c r="R154" s="21">
        <f>Sales[[#This Row],[Gross Profit]]/Sales[[#This Row],[Revenue]]</f>
        <v>0.33204050851109668</v>
      </c>
    </row>
    <row r="155" spans="1:18">
      <c r="A155" t="s">
        <v>327</v>
      </c>
      <c r="B155" s="4">
        <v>46030</v>
      </c>
      <c r="C155" t="s">
        <v>48</v>
      </c>
      <c r="D155" t="s">
        <v>49</v>
      </c>
      <c r="E155" t="s">
        <v>50</v>
      </c>
      <c r="F155" t="s">
        <v>171</v>
      </c>
      <c r="G155" t="s">
        <v>130</v>
      </c>
      <c r="H155" t="s">
        <v>131</v>
      </c>
      <c r="I155" t="s">
        <v>58</v>
      </c>
      <c r="J155" t="s">
        <v>151</v>
      </c>
      <c r="K155" s="17">
        <v>3</v>
      </c>
      <c r="L155" s="5">
        <v>170</v>
      </c>
      <c r="M155" s="5">
        <v>95</v>
      </c>
      <c r="N155" s="6">
        <v>0.1</v>
      </c>
      <c r="O155" s="15">
        <f>Sales[[#This Row],[Quantity]]*Sales[[#This Row],[Unit Price]]*(1-Sales[[#This Row],[Discount Rate]])</f>
        <v>459</v>
      </c>
      <c r="P155" s="15">
        <f>Sales[[#This Row],[Unit Cost]]*Sales[[#This Row],[Quantity]]</f>
        <v>285</v>
      </c>
      <c r="Q155" s="15">
        <f>Sales[[#This Row],[Revenue]]-Sales[[#This Row],[Product cost]]</f>
        <v>174</v>
      </c>
      <c r="R155" s="21">
        <f>Sales[[#This Row],[Gross Profit]]/Sales[[#This Row],[Revenue]]</f>
        <v>0.37908496732026142</v>
      </c>
    </row>
    <row r="156" spans="1:18">
      <c r="A156" t="s">
        <v>328</v>
      </c>
      <c r="B156" s="4">
        <v>46119</v>
      </c>
      <c r="C156" t="s">
        <v>51</v>
      </c>
      <c r="D156" t="s">
        <v>52</v>
      </c>
      <c r="E156" t="s">
        <v>50</v>
      </c>
      <c r="F156" t="s">
        <v>173</v>
      </c>
      <c r="G156" t="s">
        <v>124</v>
      </c>
      <c r="H156" t="s">
        <v>125</v>
      </c>
      <c r="I156" t="s">
        <v>58</v>
      </c>
      <c r="J156" t="s">
        <v>153</v>
      </c>
      <c r="K156" s="17">
        <v>4</v>
      </c>
      <c r="L156" s="5">
        <v>130</v>
      </c>
      <c r="M156" s="5">
        <v>65</v>
      </c>
      <c r="N156" s="6">
        <v>0.15</v>
      </c>
      <c r="O156" s="15">
        <f>Sales[[#This Row],[Quantity]]*Sales[[#This Row],[Unit Price]]*(1-Sales[[#This Row],[Discount Rate]])</f>
        <v>442</v>
      </c>
      <c r="P156" s="15">
        <f>Sales[[#This Row],[Unit Cost]]*Sales[[#This Row],[Quantity]]</f>
        <v>260</v>
      </c>
      <c r="Q156" s="15">
        <f>Sales[[#This Row],[Revenue]]-Sales[[#This Row],[Product cost]]</f>
        <v>182</v>
      </c>
      <c r="R156" s="21">
        <f>Sales[[#This Row],[Gross Profit]]/Sales[[#This Row],[Revenue]]</f>
        <v>0.41176470588235292</v>
      </c>
    </row>
    <row r="157" spans="1:18">
      <c r="A157" t="s">
        <v>329</v>
      </c>
      <c r="B157" s="4">
        <v>46055</v>
      </c>
      <c r="C157" t="s">
        <v>39</v>
      </c>
      <c r="D157" t="s">
        <v>40</v>
      </c>
      <c r="E157" t="s">
        <v>36</v>
      </c>
      <c r="F157" t="s">
        <v>175</v>
      </c>
      <c r="G157" t="s">
        <v>82</v>
      </c>
      <c r="H157" t="s">
        <v>83</v>
      </c>
      <c r="I157" t="s">
        <v>58</v>
      </c>
      <c r="J157" t="s">
        <v>152</v>
      </c>
      <c r="K157" s="17">
        <v>2</v>
      </c>
      <c r="L157" s="5">
        <v>260</v>
      </c>
      <c r="M157" s="5">
        <v>155</v>
      </c>
      <c r="N157" s="6">
        <v>0.15</v>
      </c>
      <c r="O157" s="15">
        <f>Sales[[#This Row],[Quantity]]*Sales[[#This Row],[Unit Price]]*(1-Sales[[#This Row],[Discount Rate]])</f>
        <v>442</v>
      </c>
      <c r="P157" s="15">
        <f>Sales[[#This Row],[Unit Cost]]*Sales[[#This Row],[Quantity]]</f>
        <v>310</v>
      </c>
      <c r="Q157" s="15">
        <f>Sales[[#This Row],[Revenue]]-Sales[[#This Row],[Product cost]]</f>
        <v>132</v>
      </c>
      <c r="R157" s="21">
        <f>Sales[[#This Row],[Gross Profit]]/Sales[[#This Row],[Revenue]]</f>
        <v>0.29864253393665158</v>
      </c>
    </row>
    <row r="158" spans="1:18">
      <c r="A158" t="s">
        <v>330</v>
      </c>
      <c r="B158" s="4">
        <v>46111</v>
      </c>
      <c r="C158" t="s">
        <v>39</v>
      </c>
      <c r="D158" t="s">
        <v>40</v>
      </c>
      <c r="E158" t="s">
        <v>36</v>
      </c>
      <c r="F158" t="s">
        <v>171</v>
      </c>
      <c r="G158" t="s">
        <v>106</v>
      </c>
      <c r="H158" t="s">
        <v>107</v>
      </c>
      <c r="I158" t="s">
        <v>58</v>
      </c>
      <c r="J158" t="s">
        <v>153</v>
      </c>
      <c r="K158" s="17">
        <v>2</v>
      </c>
      <c r="L158" s="5">
        <v>260</v>
      </c>
      <c r="M158" s="5">
        <v>155</v>
      </c>
      <c r="N158" s="6">
        <v>0.15</v>
      </c>
      <c r="O158" s="15">
        <f>Sales[[#This Row],[Quantity]]*Sales[[#This Row],[Unit Price]]*(1-Sales[[#This Row],[Discount Rate]])</f>
        <v>442</v>
      </c>
      <c r="P158" s="15">
        <f>Sales[[#This Row],[Unit Cost]]*Sales[[#This Row],[Quantity]]</f>
        <v>310</v>
      </c>
      <c r="Q158" s="15">
        <f>Sales[[#This Row],[Revenue]]-Sales[[#This Row],[Product cost]]</f>
        <v>132</v>
      </c>
      <c r="R158" s="21">
        <f>Sales[[#This Row],[Gross Profit]]/Sales[[#This Row],[Revenue]]</f>
        <v>0.29864253393665158</v>
      </c>
    </row>
    <row r="159" spans="1:18">
      <c r="A159" t="s">
        <v>331</v>
      </c>
      <c r="B159" s="4">
        <v>46045</v>
      </c>
      <c r="C159" t="s">
        <v>51</v>
      </c>
      <c r="D159" t="s">
        <v>52</v>
      </c>
      <c r="E159" t="s">
        <v>50</v>
      </c>
      <c r="F159" t="s">
        <v>171</v>
      </c>
      <c r="G159" t="s">
        <v>136</v>
      </c>
      <c r="H159" t="s">
        <v>137</v>
      </c>
      <c r="I159" t="s">
        <v>58</v>
      </c>
      <c r="J159" t="s">
        <v>151</v>
      </c>
      <c r="K159" s="17">
        <v>4</v>
      </c>
      <c r="L159" s="5">
        <v>130</v>
      </c>
      <c r="M159" s="5">
        <v>65</v>
      </c>
      <c r="N159" s="6">
        <v>0.15</v>
      </c>
      <c r="O159" s="15">
        <f>Sales[[#This Row],[Quantity]]*Sales[[#This Row],[Unit Price]]*(1-Sales[[#This Row],[Discount Rate]])</f>
        <v>442</v>
      </c>
      <c r="P159" s="15">
        <f>Sales[[#This Row],[Unit Cost]]*Sales[[#This Row],[Quantity]]</f>
        <v>260</v>
      </c>
      <c r="Q159" s="15">
        <f>Sales[[#This Row],[Revenue]]-Sales[[#This Row],[Product cost]]</f>
        <v>182</v>
      </c>
      <c r="R159" s="21">
        <f>Sales[[#This Row],[Gross Profit]]/Sales[[#This Row],[Revenue]]</f>
        <v>0.41176470588235292</v>
      </c>
    </row>
    <row r="160" spans="1:18">
      <c r="A160" t="s">
        <v>332</v>
      </c>
      <c r="B160" s="4">
        <v>46064</v>
      </c>
      <c r="C160" t="s">
        <v>51</v>
      </c>
      <c r="D160" t="s">
        <v>52</v>
      </c>
      <c r="E160" t="s">
        <v>50</v>
      </c>
      <c r="F160" t="s">
        <v>173</v>
      </c>
      <c r="G160" t="s">
        <v>118</v>
      </c>
      <c r="H160" t="s">
        <v>119</v>
      </c>
      <c r="I160" t="s">
        <v>58</v>
      </c>
      <c r="J160" t="s">
        <v>150</v>
      </c>
      <c r="K160" s="17">
        <v>4</v>
      </c>
      <c r="L160" s="5">
        <v>130</v>
      </c>
      <c r="M160" s="5">
        <v>65</v>
      </c>
      <c r="N160" s="6">
        <v>0.15</v>
      </c>
      <c r="O160" s="15">
        <f>Sales[[#This Row],[Quantity]]*Sales[[#This Row],[Unit Price]]*(1-Sales[[#This Row],[Discount Rate]])</f>
        <v>442</v>
      </c>
      <c r="P160" s="15">
        <f>Sales[[#This Row],[Unit Cost]]*Sales[[#This Row],[Quantity]]</f>
        <v>260</v>
      </c>
      <c r="Q160" s="15">
        <f>Sales[[#This Row],[Revenue]]-Sales[[#This Row],[Product cost]]</f>
        <v>182</v>
      </c>
      <c r="R160" s="21">
        <f>Sales[[#This Row],[Gross Profit]]/Sales[[#This Row],[Revenue]]</f>
        <v>0.41176470588235292</v>
      </c>
    </row>
    <row r="161" spans="1:18">
      <c r="A161" t="s">
        <v>333</v>
      </c>
      <c r="B161" s="4">
        <v>46115</v>
      </c>
      <c r="C161" t="s">
        <v>41</v>
      </c>
      <c r="D161" t="s">
        <v>42</v>
      </c>
      <c r="E161" t="s">
        <v>43</v>
      </c>
      <c r="F161" t="s">
        <v>171</v>
      </c>
      <c r="G161" t="s">
        <v>61</v>
      </c>
      <c r="H161" t="s">
        <v>62</v>
      </c>
      <c r="I161" t="s">
        <v>63</v>
      </c>
      <c r="J161" t="s">
        <v>151</v>
      </c>
      <c r="K161" s="17">
        <v>12</v>
      </c>
      <c r="L161" s="5">
        <v>36.75</v>
      </c>
      <c r="M161" s="5">
        <v>14</v>
      </c>
      <c r="N161" s="6">
        <v>0</v>
      </c>
      <c r="O161" s="15">
        <f>Sales[[#This Row],[Quantity]]*Sales[[#This Row],[Unit Price]]*(1-Sales[[#This Row],[Discount Rate]])</f>
        <v>441</v>
      </c>
      <c r="P161" s="15">
        <f>Sales[[#This Row],[Unit Cost]]*Sales[[#This Row],[Quantity]]</f>
        <v>168</v>
      </c>
      <c r="Q161" s="15">
        <f>Sales[[#This Row],[Revenue]]-Sales[[#This Row],[Product cost]]</f>
        <v>273</v>
      </c>
      <c r="R161" s="21">
        <f>Sales[[#This Row],[Gross Profit]]/Sales[[#This Row],[Revenue]]</f>
        <v>0.61904761904761907</v>
      </c>
    </row>
    <row r="162" spans="1:18">
      <c r="A162" t="s">
        <v>334</v>
      </c>
      <c r="B162" s="4">
        <v>46119</v>
      </c>
      <c r="C162" t="s">
        <v>46</v>
      </c>
      <c r="D162" t="s">
        <v>47</v>
      </c>
      <c r="E162" t="s">
        <v>43</v>
      </c>
      <c r="F162" t="s">
        <v>175</v>
      </c>
      <c r="G162" t="s">
        <v>110</v>
      </c>
      <c r="H162" t="s">
        <v>111</v>
      </c>
      <c r="I162" t="s">
        <v>63</v>
      </c>
      <c r="J162" t="s">
        <v>152</v>
      </c>
      <c r="K162" s="17">
        <v>8</v>
      </c>
      <c r="L162" s="5">
        <v>55</v>
      </c>
      <c r="M162" s="5">
        <v>22</v>
      </c>
      <c r="N162" s="6">
        <v>0</v>
      </c>
      <c r="O162" s="15">
        <f>Sales[[#This Row],[Quantity]]*Sales[[#This Row],[Unit Price]]*(1-Sales[[#This Row],[Discount Rate]])</f>
        <v>440</v>
      </c>
      <c r="P162" s="15">
        <f>Sales[[#This Row],[Unit Cost]]*Sales[[#This Row],[Quantity]]</f>
        <v>176</v>
      </c>
      <c r="Q162" s="15">
        <f>Sales[[#This Row],[Revenue]]-Sales[[#This Row],[Product cost]]</f>
        <v>264</v>
      </c>
      <c r="R162" s="21">
        <f>Sales[[#This Row],[Gross Profit]]/Sales[[#This Row],[Revenue]]</f>
        <v>0.6</v>
      </c>
    </row>
    <row r="163" spans="1:18">
      <c r="A163" t="s">
        <v>335</v>
      </c>
      <c r="B163" s="4">
        <v>46133</v>
      </c>
      <c r="C163" t="s">
        <v>39</v>
      </c>
      <c r="D163" t="s">
        <v>40</v>
      </c>
      <c r="E163" t="s">
        <v>36</v>
      </c>
      <c r="F163" t="s">
        <v>171</v>
      </c>
      <c r="G163" t="s">
        <v>120</v>
      </c>
      <c r="H163" t="s">
        <v>121</v>
      </c>
      <c r="I163" t="s">
        <v>58</v>
      </c>
      <c r="J163" t="s">
        <v>153</v>
      </c>
      <c r="K163" s="17">
        <v>2</v>
      </c>
      <c r="L163" s="5">
        <v>247</v>
      </c>
      <c r="M163" s="5">
        <v>155</v>
      </c>
      <c r="N163" s="6">
        <v>0.15</v>
      </c>
      <c r="O163" s="15">
        <f>Sales[[#This Row],[Quantity]]*Sales[[#This Row],[Unit Price]]*(1-Sales[[#This Row],[Discount Rate]])</f>
        <v>419.9</v>
      </c>
      <c r="P163" s="15">
        <f>Sales[[#This Row],[Unit Cost]]*Sales[[#This Row],[Quantity]]</f>
        <v>310</v>
      </c>
      <c r="Q163" s="15">
        <f>Sales[[#This Row],[Revenue]]-Sales[[#This Row],[Product cost]]</f>
        <v>109.89999999999998</v>
      </c>
      <c r="R163" s="21">
        <f>Sales[[#This Row],[Gross Profit]]/Sales[[#This Row],[Revenue]]</f>
        <v>0.26172898309121218</v>
      </c>
    </row>
    <row r="164" spans="1:18">
      <c r="A164" t="s">
        <v>336</v>
      </c>
      <c r="B164" s="4">
        <v>46172</v>
      </c>
      <c r="C164" t="s">
        <v>51</v>
      </c>
      <c r="D164" t="s">
        <v>52</v>
      </c>
      <c r="E164" t="s">
        <v>50</v>
      </c>
      <c r="F164" t="s">
        <v>171</v>
      </c>
      <c r="G164" t="s">
        <v>94</v>
      </c>
      <c r="H164" t="s">
        <v>95</v>
      </c>
      <c r="I164" t="s">
        <v>58</v>
      </c>
      <c r="J164" t="s">
        <v>150</v>
      </c>
      <c r="K164" s="17">
        <v>3</v>
      </c>
      <c r="L164" s="5">
        <v>136.5</v>
      </c>
      <c r="M164" s="5">
        <v>65</v>
      </c>
      <c r="N164" s="6">
        <v>0</v>
      </c>
      <c r="O164" s="15">
        <f>Sales[[#This Row],[Quantity]]*Sales[[#This Row],[Unit Price]]*(1-Sales[[#This Row],[Discount Rate]])</f>
        <v>409.5</v>
      </c>
      <c r="P164" s="15">
        <f>Sales[[#This Row],[Unit Cost]]*Sales[[#This Row],[Quantity]]</f>
        <v>195</v>
      </c>
      <c r="Q164" s="15">
        <f>Sales[[#This Row],[Revenue]]-Sales[[#This Row],[Product cost]]</f>
        <v>214.5</v>
      </c>
      <c r="R164" s="21">
        <f>Sales[[#This Row],[Gross Profit]]/Sales[[#This Row],[Revenue]]</f>
        <v>0.52380952380952384</v>
      </c>
    </row>
    <row r="165" spans="1:18">
      <c r="A165" t="s">
        <v>337</v>
      </c>
      <c r="B165" s="4">
        <v>46118</v>
      </c>
      <c r="C165" t="s">
        <v>51</v>
      </c>
      <c r="D165" t="s">
        <v>52</v>
      </c>
      <c r="E165" t="s">
        <v>50</v>
      </c>
      <c r="F165" t="s">
        <v>173</v>
      </c>
      <c r="G165" t="s">
        <v>59</v>
      </c>
      <c r="H165" t="s">
        <v>60</v>
      </c>
      <c r="I165" t="s">
        <v>58</v>
      </c>
      <c r="J165" t="s">
        <v>150</v>
      </c>
      <c r="K165" s="17">
        <v>3</v>
      </c>
      <c r="L165" s="5">
        <v>136.5</v>
      </c>
      <c r="M165" s="5">
        <v>65</v>
      </c>
      <c r="N165" s="6">
        <v>0</v>
      </c>
      <c r="O165" s="15">
        <f>Sales[[#This Row],[Quantity]]*Sales[[#This Row],[Unit Price]]*(1-Sales[[#This Row],[Discount Rate]])</f>
        <v>409.5</v>
      </c>
      <c r="P165" s="15">
        <f>Sales[[#This Row],[Unit Cost]]*Sales[[#This Row],[Quantity]]</f>
        <v>195</v>
      </c>
      <c r="Q165" s="15">
        <f>Sales[[#This Row],[Revenue]]-Sales[[#This Row],[Product cost]]</f>
        <v>214.5</v>
      </c>
      <c r="R165" s="21">
        <f>Sales[[#This Row],[Gross Profit]]/Sales[[#This Row],[Revenue]]</f>
        <v>0.52380952380952384</v>
      </c>
    </row>
    <row r="166" spans="1:18">
      <c r="A166" t="s">
        <v>338</v>
      </c>
      <c r="B166" s="4">
        <v>46182</v>
      </c>
      <c r="C166" t="s">
        <v>41</v>
      </c>
      <c r="D166" t="s">
        <v>42</v>
      </c>
      <c r="E166" t="s">
        <v>43</v>
      </c>
      <c r="F166" t="s">
        <v>173</v>
      </c>
      <c r="G166" t="s">
        <v>86</v>
      </c>
      <c r="H166" t="s">
        <v>87</v>
      </c>
      <c r="I166" t="s">
        <v>63</v>
      </c>
      <c r="J166" t="s">
        <v>150</v>
      </c>
      <c r="K166" s="17">
        <v>12</v>
      </c>
      <c r="L166" s="5">
        <v>33.25</v>
      </c>
      <c r="M166" s="5">
        <f>_xlfn.XLOOKUP(C166, 'Product Reference'!$A$2:$A$9, 'Product Reference'!$D$2:$D$9, "Not Found")</f>
        <v>14</v>
      </c>
      <c r="N166" s="6">
        <v>0</v>
      </c>
      <c r="O166" s="15">
        <f>Sales[[#This Row],[Quantity]]*Sales[[#This Row],[Unit Price]]*(1-Sales[[#This Row],[Discount Rate]])</f>
        <v>399</v>
      </c>
      <c r="P166" s="15">
        <f>Sales[[#This Row],[Unit Cost]]*Sales[[#This Row],[Quantity]]</f>
        <v>168</v>
      </c>
      <c r="Q166" s="15">
        <f>Sales[[#This Row],[Revenue]]-Sales[[#This Row],[Product cost]]</f>
        <v>231</v>
      </c>
      <c r="R166" s="21">
        <f>Sales[[#This Row],[Gross Profit]]/Sales[[#This Row],[Revenue]]</f>
        <v>0.57894736842105265</v>
      </c>
    </row>
    <row r="167" spans="1:18">
      <c r="A167" t="s">
        <v>339</v>
      </c>
      <c r="B167" s="4">
        <v>46090</v>
      </c>
      <c r="C167" t="s">
        <v>51</v>
      </c>
      <c r="D167" t="s">
        <v>52</v>
      </c>
      <c r="E167" t="s">
        <v>50</v>
      </c>
      <c r="F167" t="s">
        <v>171</v>
      </c>
      <c r="G167" t="s">
        <v>70</v>
      </c>
      <c r="H167" t="s">
        <v>71</v>
      </c>
      <c r="I167" t="s">
        <v>58</v>
      </c>
      <c r="J167" t="s">
        <v>153</v>
      </c>
      <c r="K167" s="17">
        <v>3</v>
      </c>
      <c r="L167" s="5">
        <v>130</v>
      </c>
      <c r="M167" s="5">
        <v>65</v>
      </c>
      <c r="N167" s="6">
        <v>0</v>
      </c>
      <c r="O167" s="15">
        <f>Sales[[#This Row],[Quantity]]*Sales[[#This Row],[Unit Price]]*(1-Sales[[#This Row],[Discount Rate]])</f>
        <v>390</v>
      </c>
      <c r="P167" s="15">
        <f>Sales[[#This Row],[Unit Cost]]*Sales[[#This Row],[Quantity]]</f>
        <v>195</v>
      </c>
      <c r="Q167" s="15">
        <f>Sales[[#This Row],[Revenue]]-Sales[[#This Row],[Product cost]]</f>
        <v>195</v>
      </c>
      <c r="R167" s="21">
        <f>Sales[[#This Row],[Gross Profit]]/Sales[[#This Row],[Revenue]]</f>
        <v>0.5</v>
      </c>
    </row>
    <row r="168" spans="1:18">
      <c r="A168" t="s">
        <v>340</v>
      </c>
      <c r="B168" s="4">
        <v>46115</v>
      </c>
      <c r="C168" t="s">
        <v>51</v>
      </c>
      <c r="D168" t="s">
        <v>52</v>
      </c>
      <c r="E168" t="s">
        <v>50</v>
      </c>
      <c r="F168" t="s">
        <v>173</v>
      </c>
      <c r="G168" t="s">
        <v>82</v>
      </c>
      <c r="H168" t="s">
        <v>83</v>
      </c>
      <c r="I168" t="s">
        <v>58</v>
      </c>
      <c r="J168" t="s">
        <v>150</v>
      </c>
      <c r="K168" s="17">
        <v>3</v>
      </c>
      <c r="L168" s="5">
        <v>136.5</v>
      </c>
      <c r="M168" s="5">
        <f>_xlfn.XLOOKUP(C168, 'Product Reference'!$A$2:$A$9, 'Product Reference'!$D$2:$D$9, "Not Found")</f>
        <v>65</v>
      </c>
      <c r="N168" s="6">
        <v>0.05</v>
      </c>
      <c r="O168" s="15">
        <f>Sales[[#This Row],[Quantity]]*Sales[[#This Row],[Unit Price]]*(1-Sales[[#This Row],[Discount Rate]])</f>
        <v>389.02499999999998</v>
      </c>
      <c r="P168" s="15">
        <f>Sales[[#This Row],[Unit Cost]]*Sales[[#This Row],[Quantity]]</f>
        <v>195</v>
      </c>
      <c r="Q168" s="15">
        <f>Sales[[#This Row],[Revenue]]-Sales[[#This Row],[Product cost]]</f>
        <v>194.02499999999998</v>
      </c>
      <c r="R168" s="21">
        <f>Sales[[#This Row],[Gross Profit]]/Sales[[#This Row],[Revenue]]</f>
        <v>0.49874686716791977</v>
      </c>
    </row>
    <row r="169" spans="1:18">
      <c r="A169" t="s">
        <v>341</v>
      </c>
      <c r="B169" s="4">
        <v>46161</v>
      </c>
      <c r="C169" t="s">
        <v>51</v>
      </c>
      <c r="D169" t="s">
        <v>52</v>
      </c>
      <c r="E169" t="s">
        <v>50</v>
      </c>
      <c r="F169" t="s">
        <v>173</v>
      </c>
      <c r="G169" t="s">
        <v>90</v>
      </c>
      <c r="H169" t="s">
        <v>91</v>
      </c>
      <c r="I169" t="s">
        <v>58</v>
      </c>
      <c r="J169" t="s">
        <v>153</v>
      </c>
      <c r="K169" s="17">
        <v>3</v>
      </c>
      <c r="L169" s="5">
        <v>123.5</v>
      </c>
      <c r="M169" s="5">
        <v>65</v>
      </c>
      <c r="N169" s="6">
        <v>0</v>
      </c>
      <c r="O169" s="15">
        <f>Sales[[#This Row],[Quantity]]*Sales[[#This Row],[Unit Price]]*(1-Sales[[#This Row],[Discount Rate]])</f>
        <v>370.5</v>
      </c>
      <c r="P169" s="15">
        <f>Sales[[#This Row],[Unit Cost]]*Sales[[#This Row],[Quantity]]</f>
        <v>195</v>
      </c>
      <c r="Q169" s="15">
        <f>Sales[[#This Row],[Revenue]]-Sales[[#This Row],[Product cost]]</f>
        <v>175.5</v>
      </c>
      <c r="R169" s="21">
        <f>Sales[[#This Row],[Gross Profit]]/Sales[[#This Row],[Revenue]]</f>
        <v>0.47368421052631576</v>
      </c>
    </row>
    <row r="170" spans="1:18">
      <c r="A170" t="s">
        <v>342</v>
      </c>
      <c r="B170" s="4">
        <v>46096</v>
      </c>
      <c r="C170" t="s">
        <v>51</v>
      </c>
      <c r="D170" t="s">
        <v>52</v>
      </c>
      <c r="E170" t="s">
        <v>50</v>
      </c>
      <c r="F170" t="s">
        <v>178</v>
      </c>
      <c r="G170" t="s">
        <v>130</v>
      </c>
      <c r="H170" t="s">
        <v>131</v>
      </c>
      <c r="I170" t="s">
        <v>58</v>
      </c>
      <c r="J170" t="s">
        <v>150</v>
      </c>
      <c r="K170" s="17">
        <v>3</v>
      </c>
      <c r="L170" s="5">
        <v>130</v>
      </c>
      <c r="M170" s="5">
        <v>65</v>
      </c>
      <c r="N170" s="6">
        <v>0.05</v>
      </c>
      <c r="O170" s="15">
        <f>Sales[[#This Row],[Quantity]]*Sales[[#This Row],[Unit Price]]*(1-Sales[[#This Row],[Discount Rate]])</f>
        <v>370.5</v>
      </c>
      <c r="P170" s="15">
        <f>Sales[[#This Row],[Unit Cost]]*Sales[[#This Row],[Quantity]]</f>
        <v>195</v>
      </c>
      <c r="Q170" s="15">
        <f>Sales[[#This Row],[Revenue]]-Sales[[#This Row],[Product cost]]</f>
        <v>175.5</v>
      </c>
      <c r="R170" s="21">
        <f>Sales[[#This Row],[Gross Profit]]/Sales[[#This Row],[Revenue]]</f>
        <v>0.47368421052631576</v>
      </c>
    </row>
    <row r="171" spans="1:18">
      <c r="A171" t="s">
        <v>343</v>
      </c>
      <c r="B171" s="4">
        <v>46137</v>
      </c>
      <c r="C171" t="s">
        <v>51</v>
      </c>
      <c r="D171" t="s">
        <v>52</v>
      </c>
      <c r="E171" t="s">
        <v>50</v>
      </c>
      <c r="F171" t="s">
        <v>171</v>
      </c>
      <c r="G171" t="s">
        <v>122</v>
      </c>
      <c r="H171" t="s">
        <v>123</v>
      </c>
      <c r="I171" t="s">
        <v>63</v>
      </c>
      <c r="J171" t="s">
        <v>152</v>
      </c>
      <c r="K171" s="17">
        <v>3</v>
      </c>
      <c r="L171" s="5">
        <v>136.5</v>
      </c>
      <c r="M171" s="5">
        <v>65</v>
      </c>
      <c r="N171" s="6">
        <v>0.1</v>
      </c>
      <c r="O171" s="15">
        <f>Sales[[#This Row],[Quantity]]*Sales[[#This Row],[Unit Price]]*(1-Sales[[#This Row],[Discount Rate]])</f>
        <v>368.55</v>
      </c>
      <c r="P171" s="15">
        <f>Sales[[#This Row],[Unit Cost]]*Sales[[#This Row],[Quantity]]</f>
        <v>195</v>
      </c>
      <c r="Q171" s="15">
        <f>Sales[[#This Row],[Revenue]]-Sales[[#This Row],[Product cost]]</f>
        <v>173.55</v>
      </c>
      <c r="R171" s="21">
        <f>Sales[[#This Row],[Gross Profit]]/Sales[[#This Row],[Revenue]]</f>
        <v>0.47089947089947093</v>
      </c>
    </row>
    <row r="172" spans="1:18">
      <c r="A172" t="s">
        <v>344</v>
      </c>
      <c r="B172" s="4">
        <v>46069</v>
      </c>
      <c r="C172" t="s">
        <v>41</v>
      </c>
      <c r="D172" t="s">
        <v>42</v>
      </c>
      <c r="E172" t="s">
        <v>43</v>
      </c>
      <c r="F172" t="s">
        <v>173</v>
      </c>
      <c r="G172" t="s">
        <v>116</v>
      </c>
      <c r="H172" t="s">
        <v>117</v>
      </c>
      <c r="I172" t="s">
        <v>63</v>
      </c>
      <c r="J172" t="s">
        <v>151</v>
      </c>
      <c r="K172" s="17">
        <v>11</v>
      </c>
      <c r="L172" s="5">
        <v>33.25</v>
      </c>
      <c r="M172" s="5">
        <v>14</v>
      </c>
      <c r="N172" s="6">
        <v>0</v>
      </c>
      <c r="O172" s="15">
        <f>Sales[[#This Row],[Quantity]]*Sales[[#This Row],[Unit Price]]*(1-Sales[[#This Row],[Discount Rate]])</f>
        <v>365.75</v>
      </c>
      <c r="P172" s="15">
        <f>Sales[[#This Row],[Unit Cost]]*Sales[[#This Row],[Quantity]]</f>
        <v>154</v>
      </c>
      <c r="Q172" s="15">
        <f>Sales[[#This Row],[Revenue]]-Sales[[#This Row],[Product cost]]</f>
        <v>211.75</v>
      </c>
      <c r="R172" s="21">
        <f>Sales[[#This Row],[Gross Profit]]/Sales[[#This Row],[Revenue]]</f>
        <v>0.57894736842105265</v>
      </c>
    </row>
    <row r="173" spans="1:18">
      <c r="A173" t="s">
        <v>345</v>
      </c>
      <c r="B173" s="4">
        <v>46033</v>
      </c>
      <c r="C173" t="s">
        <v>37</v>
      </c>
      <c r="D173" t="s">
        <v>38</v>
      </c>
      <c r="E173" t="s">
        <v>36</v>
      </c>
      <c r="F173" t="s">
        <v>175</v>
      </c>
      <c r="G173" t="s">
        <v>84</v>
      </c>
      <c r="H173" t="s">
        <v>85</v>
      </c>
      <c r="I173" t="s">
        <v>58</v>
      </c>
      <c r="J173" t="s">
        <v>150</v>
      </c>
      <c r="K173" s="17">
        <v>2</v>
      </c>
      <c r="L173" s="5">
        <v>180</v>
      </c>
      <c r="M173" s="5">
        <v>95</v>
      </c>
      <c r="N173" s="6">
        <v>0</v>
      </c>
      <c r="O173" s="15">
        <f>Sales[[#This Row],[Quantity]]*Sales[[#This Row],[Unit Price]]*(1-Sales[[#This Row],[Discount Rate]])</f>
        <v>360</v>
      </c>
      <c r="P173" s="15">
        <f>Sales[[#This Row],[Unit Cost]]*Sales[[#This Row],[Quantity]]</f>
        <v>190</v>
      </c>
      <c r="Q173" s="15">
        <f>Sales[[#This Row],[Revenue]]-Sales[[#This Row],[Product cost]]</f>
        <v>170</v>
      </c>
      <c r="R173" s="21">
        <f>Sales[[#This Row],[Gross Profit]]/Sales[[#This Row],[Revenue]]</f>
        <v>0.47222222222222221</v>
      </c>
    </row>
    <row r="174" spans="1:18">
      <c r="A174" t="s">
        <v>346</v>
      </c>
      <c r="B174" s="4">
        <v>46162</v>
      </c>
      <c r="C174" t="s">
        <v>37</v>
      </c>
      <c r="D174" t="s">
        <v>38</v>
      </c>
      <c r="E174" t="s">
        <v>36</v>
      </c>
      <c r="F174" t="s">
        <v>173</v>
      </c>
      <c r="G174" t="s">
        <v>68</v>
      </c>
      <c r="H174" t="s">
        <v>69</v>
      </c>
      <c r="I174" t="s">
        <v>63</v>
      </c>
      <c r="J174" t="s">
        <v>153</v>
      </c>
      <c r="K174" s="17">
        <v>2</v>
      </c>
      <c r="L174" s="5">
        <v>180</v>
      </c>
      <c r="M174" s="5">
        <v>95</v>
      </c>
      <c r="N174" s="6">
        <v>0</v>
      </c>
      <c r="O174" s="15">
        <f>Sales[[#This Row],[Quantity]]*Sales[[#This Row],[Unit Price]]*(1-Sales[[#This Row],[Discount Rate]])</f>
        <v>360</v>
      </c>
      <c r="P174" s="15">
        <f>Sales[[#This Row],[Unit Cost]]*Sales[[#This Row],[Quantity]]</f>
        <v>190</v>
      </c>
      <c r="Q174" s="15">
        <f>Sales[[#This Row],[Revenue]]-Sales[[#This Row],[Product cost]]</f>
        <v>170</v>
      </c>
      <c r="R174" s="21">
        <f>Sales[[#This Row],[Gross Profit]]/Sales[[#This Row],[Revenue]]</f>
        <v>0.47222222222222221</v>
      </c>
    </row>
    <row r="175" spans="1:18">
      <c r="A175" t="s">
        <v>347</v>
      </c>
      <c r="B175" s="4">
        <v>46088</v>
      </c>
      <c r="C175" t="s">
        <v>51</v>
      </c>
      <c r="D175" t="s">
        <v>52</v>
      </c>
      <c r="E175" t="s">
        <v>50</v>
      </c>
      <c r="F175" t="s">
        <v>175</v>
      </c>
      <c r="G175" t="s">
        <v>72</v>
      </c>
      <c r="H175" t="s">
        <v>73</v>
      </c>
      <c r="I175" t="s">
        <v>58</v>
      </c>
      <c r="J175" t="s">
        <v>150</v>
      </c>
      <c r="K175" s="17">
        <v>3</v>
      </c>
      <c r="L175" s="5">
        <v>123.5</v>
      </c>
      <c r="M175" s="5">
        <v>65</v>
      </c>
      <c r="N175" s="6">
        <v>0.05</v>
      </c>
      <c r="O175" s="15">
        <f>Sales[[#This Row],[Quantity]]*Sales[[#This Row],[Unit Price]]*(1-Sales[[#This Row],[Discount Rate]])</f>
        <v>351.97499999999997</v>
      </c>
      <c r="P175" s="15">
        <f>Sales[[#This Row],[Unit Cost]]*Sales[[#This Row],[Quantity]]</f>
        <v>195</v>
      </c>
      <c r="Q175" s="15">
        <f>Sales[[#This Row],[Revenue]]-Sales[[#This Row],[Product cost]]</f>
        <v>156.97499999999997</v>
      </c>
      <c r="R175" s="21">
        <f>Sales[[#This Row],[Gross Profit]]/Sales[[#This Row],[Revenue]]</f>
        <v>0.445983379501385</v>
      </c>
    </row>
    <row r="176" spans="1:18">
      <c r="A176" t="s">
        <v>348</v>
      </c>
      <c r="B176" s="4">
        <v>46088</v>
      </c>
      <c r="C176" t="s">
        <v>51</v>
      </c>
      <c r="D176" t="s">
        <v>52</v>
      </c>
      <c r="E176" t="s">
        <v>50</v>
      </c>
      <c r="F176" t="s">
        <v>178</v>
      </c>
      <c r="G176" t="s">
        <v>59</v>
      </c>
      <c r="H176" t="s">
        <v>60</v>
      </c>
      <c r="I176" t="s">
        <v>58</v>
      </c>
      <c r="J176" t="s">
        <v>151</v>
      </c>
      <c r="K176" s="17">
        <v>3</v>
      </c>
      <c r="L176" s="5">
        <v>130</v>
      </c>
      <c r="M176" s="5">
        <v>65</v>
      </c>
      <c r="N176" s="6">
        <v>0.1</v>
      </c>
      <c r="O176" s="15">
        <f>Sales[[#This Row],[Quantity]]*Sales[[#This Row],[Unit Price]]*(1-Sales[[#This Row],[Discount Rate]])</f>
        <v>351</v>
      </c>
      <c r="P176" s="15">
        <f>Sales[[#This Row],[Unit Cost]]*Sales[[#This Row],[Quantity]]</f>
        <v>195</v>
      </c>
      <c r="Q176" s="15">
        <f>Sales[[#This Row],[Revenue]]-Sales[[#This Row],[Product cost]]</f>
        <v>156</v>
      </c>
      <c r="R176" s="21">
        <f>Sales[[#This Row],[Gross Profit]]/Sales[[#This Row],[Revenue]]</f>
        <v>0.44444444444444442</v>
      </c>
    </row>
    <row r="177" spans="1:18">
      <c r="A177" t="s">
        <v>349</v>
      </c>
      <c r="B177" s="4">
        <v>46110</v>
      </c>
      <c r="C177" t="s">
        <v>51</v>
      </c>
      <c r="D177" t="s">
        <v>52</v>
      </c>
      <c r="E177" t="s">
        <v>50</v>
      </c>
      <c r="F177" t="s">
        <v>173</v>
      </c>
      <c r="G177" t="s">
        <v>88</v>
      </c>
      <c r="H177" t="s">
        <v>89</v>
      </c>
      <c r="I177" t="s">
        <v>58</v>
      </c>
      <c r="J177" t="s">
        <v>151</v>
      </c>
      <c r="K177" s="17">
        <v>3</v>
      </c>
      <c r="L177" s="5">
        <v>130</v>
      </c>
      <c r="M177" s="5">
        <v>65</v>
      </c>
      <c r="N177" s="6">
        <v>0.1</v>
      </c>
      <c r="O177" s="15">
        <f>Sales[[#This Row],[Quantity]]*Sales[[#This Row],[Unit Price]]*(1-Sales[[#This Row],[Discount Rate]])</f>
        <v>351</v>
      </c>
      <c r="P177" s="15">
        <f>Sales[[#This Row],[Unit Cost]]*Sales[[#This Row],[Quantity]]</f>
        <v>195</v>
      </c>
      <c r="Q177" s="15">
        <f>Sales[[#This Row],[Revenue]]-Sales[[#This Row],[Product cost]]</f>
        <v>156</v>
      </c>
      <c r="R177" s="21">
        <f>Sales[[#This Row],[Gross Profit]]/Sales[[#This Row],[Revenue]]</f>
        <v>0.44444444444444442</v>
      </c>
    </row>
    <row r="178" spans="1:18">
      <c r="A178" t="s">
        <v>350</v>
      </c>
      <c r="B178" s="4">
        <v>46088</v>
      </c>
      <c r="C178" t="s">
        <v>51</v>
      </c>
      <c r="D178" t="s">
        <v>52</v>
      </c>
      <c r="E178" t="s">
        <v>50</v>
      </c>
      <c r="F178" t="s">
        <v>178</v>
      </c>
      <c r="G178" t="s">
        <v>56</v>
      </c>
      <c r="H178" t="s">
        <v>57</v>
      </c>
      <c r="I178" t="s">
        <v>58</v>
      </c>
      <c r="J178" t="s">
        <v>150</v>
      </c>
      <c r="K178" s="17">
        <v>3</v>
      </c>
      <c r="L178" s="5">
        <v>130</v>
      </c>
      <c r="M178" s="5">
        <v>65</v>
      </c>
      <c r="N178" s="6">
        <v>0.1</v>
      </c>
      <c r="O178" s="15">
        <f>Sales[[#This Row],[Quantity]]*Sales[[#This Row],[Unit Price]]*(1-Sales[[#This Row],[Discount Rate]])</f>
        <v>351</v>
      </c>
      <c r="P178" s="15">
        <f>Sales[[#This Row],[Unit Cost]]*Sales[[#This Row],[Quantity]]</f>
        <v>195</v>
      </c>
      <c r="Q178" s="15">
        <f>Sales[[#This Row],[Revenue]]-Sales[[#This Row],[Product cost]]</f>
        <v>156</v>
      </c>
      <c r="R178" s="21">
        <f>Sales[[#This Row],[Gross Profit]]/Sales[[#This Row],[Revenue]]</f>
        <v>0.44444444444444442</v>
      </c>
    </row>
    <row r="179" spans="1:18">
      <c r="A179" t="s">
        <v>351</v>
      </c>
      <c r="B179" s="4">
        <v>46093</v>
      </c>
      <c r="C179" t="s">
        <v>51</v>
      </c>
      <c r="D179" t="s">
        <v>52</v>
      </c>
      <c r="E179" t="s">
        <v>50</v>
      </c>
      <c r="F179" t="s">
        <v>175</v>
      </c>
      <c r="G179" t="s">
        <v>130</v>
      </c>
      <c r="H179" t="s">
        <v>131</v>
      </c>
      <c r="I179" t="s">
        <v>58</v>
      </c>
      <c r="J179" t="s">
        <v>151</v>
      </c>
      <c r="K179" s="17">
        <v>3</v>
      </c>
      <c r="L179" s="5">
        <v>136.5</v>
      </c>
      <c r="M179" s="5">
        <v>65</v>
      </c>
      <c r="N179" s="6">
        <v>0.15</v>
      </c>
      <c r="O179" s="15">
        <f>Sales[[#This Row],[Quantity]]*Sales[[#This Row],[Unit Price]]*(1-Sales[[#This Row],[Discount Rate]])</f>
        <v>348.07499999999999</v>
      </c>
      <c r="P179" s="15">
        <f>Sales[[#This Row],[Unit Cost]]*Sales[[#This Row],[Quantity]]</f>
        <v>195</v>
      </c>
      <c r="Q179" s="15">
        <f>Sales[[#This Row],[Revenue]]-Sales[[#This Row],[Product cost]]</f>
        <v>153.07499999999999</v>
      </c>
      <c r="R179" s="21">
        <f>Sales[[#This Row],[Gross Profit]]/Sales[[#This Row],[Revenue]]</f>
        <v>0.43977591036414565</v>
      </c>
    </row>
    <row r="180" spans="1:18">
      <c r="A180" t="s">
        <v>352</v>
      </c>
      <c r="B180" s="4">
        <v>46202</v>
      </c>
      <c r="C180" t="s">
        <v>41</v>
      </c>
      <c r="D180" t="s">
        <v>42</v>
      </c>
      <c r="E180" t="s">
        <v>43</v>
      </c>
      <c r="F180" t="s">
        <v>178</v>
      </c>
      <c r="G180" t="s">
        <v>128</v>
      </c>
      <c r="H180" t="s">
        <v>129</v>
      </c>
      <c r="I180" t="s">
        <v>63</v>
      </c>
      <c r="J180" t="s">
        <v>153</v>
      </c>
      <c r="K180" s="17">
        <v>11</v>
      </c>
      <c r="L180" s="5">
        <v>35</v>
      </c>
      <c r="M180" s="5">
        <v>14</v>
      </c>
      <c r="N180" s="6">
        <v>0.1</v>
      </c>
      <c r="O180" s="15">
        <f>Sales[[#This Row],[Quantity]]*Sales[[#This Row],[Unit Price]]*(1-Sales[[#This Row],[Discount Rate]])</f>
        <v>346.5</v>
      </c>
      <c r="P180" s="15">
        <f>Sales[[#This Row],[Unit Cost]]*Sales[[#This Row],[Quantity]]</f>
        <v>154</v>
      </c>
      <c r="Q180" s="15">
        <f>Sales[[#This Row],[Revenue]]-Sales[[#This Row],[Product cost]]</f>
        <v>192.5</v>
      </c>
      <c r="R180" s="21">
        <f>Sales[[#This Row],[Gross Profit]]/Sales[[#This Row],[Revenue]]</f>
        <v>0.55555555555555558</v>
      </c>
    </row>
    <row r="181" spans="1:18">
      <c r="A181" t="s">
        <v>353</v>
      </c>
      <c r="B181" s="4">
        <v>46096</v>
      </c>
      <c r="C181" t="s">
        <v>37</v>
      </c>
      <c r="D181" t="s">
        <v>38</v>
      </c>
      <c r="E181" t="s">
        <v>36</v>
      </c>
      <c r="F181" t="s">
        <v>175</v>
      </c>
      <c r="G181" t="s">
        <v>108</v>
      </c>
      <c r="H181" t="s">
        <v>109</v>
      </c>
      <c r="I181" t="s">
        <v>58</v>
      </c>
      <c r="J181" t="s">
        <v>150</v>
      </c>
      <c r="K181" s="17">
        <v>2</v>
      </c>
      <c r="L181" s="5">
        <v>171</v>
      </c>
      <c r="M181" s="5">
        <v>95</v>
      </c>
      <c r="N181" s="6">
        <v>0</v>
      </c>
      <c r="O181" s="15">
        <f>Sales[[#This Row],[Quantity]]*Sales[[#This Row],[Unit Price]]*(1-Sales[[#This Row],[Discount Rate]])</f>
        <v>342</v>
      </c>
      <c r="P181" s="15">
        <f>Sales[[#This Row],[Unit Cost]]*Sales[[#This Row],[Quantity]]</f>
        <v>190</v>
      </c>
      <c r="Q181" s="15">
        <f>Sales[[#This Row],[Revenue]]-Sales[[#This Row],[Product cost]]</f>
        <v>152</v>
      </c>
      <c r="R181" s="21">
        <f>Sales[[#This Row],[Gross Profit]]/Sales[[#This Row],[Revenue]]</f>
        <v>0.44444444444444442</v>
      </c>
    </row>
    <row r="182" spans="1:18">
      <c r="A182" t="s">
        <v>354</v>
      </c>
      <c r="B182" s="4">
        <v>46059</v>
      </c>
      <c r="C182" t="s">
        <v>48</v>
      </c>
      <c r="D182" t="s">
        <v>49</v>
      </c>
      <c r="E182" t="s">
        <v>50</v>
      </c>
      <c r="F182" t="s">
        <v>173</v>
      </c>
      <c r="G182" t="s">
        <v>72</v>
      </c>
      <c r="H182" t="s">
        <v>73</v>
      </c>
      <c r="I182" t="s">
        <v>58</v>
      </c>
      <c r="J182" t="s">
        <v>153</v>
      </c>
      <c r="K182" s="17">
        <v>2</v>
      </c>
      <c r="L182" s="5">
        <v>170</v>
      </c>
      <c r="M182" s="5">
        <v>95</v>
      </c>
      <c r="N182" s="6">
        <v>0</v>
      </c>
      <c r="O182" s="15">
        <f>Sales[[#This Row],[Quantity]]*Sales[[#This Row],[Unit Price]]*(1-Sales[[#This Row],[Discount Rate]])</f>
        <v>340</v>
      </c>
      <c r="P182" s="15">
        <f>Sales[[#This Row],[Unit Cost]]*Sales[[#This Row],[Quantity]]</f>
        <v>190</v>
      </c>
      <c r="Q182" s="15">
        <f>Sales[[#This Row],[Revenue]]-Sales[[#This Row],[Product cost]]</f>
        <v>150</v>
      </c>
      <c r="R182" s="21">
        <f>Sales[[#This Row],[Gross Profit]]/Sales[[#This Row],[Revenue]]</f>
        <v>0.44117647058823528</v>
      </c>
    </row>
    <row r="183" spans="1:18">
      <c r="A183" t="s">
        <v>355</v>
      </c>
      <c r="B183" s="4">
        <v>46065</v>
      </c>
      <c r="C183" t="s">
        <v>48</v>
      </c>
      <c r="D183" t="s">
        <v>49</v>
      </c>
      <c r="E183" t="s">
        <v>50</v>
      </c>
      <c r="F183" t="s">
        <v>173</v>
      </c>
      <c r="G183" t="s">
        <v>136</v>
      </c>
      <c r="H183" t="s">
        <v>137</v>
      </c>
      <c r="I183" t="s">
        <v>58</v>
      </c>
      <c r="J183" t="s">
        <v>150</v>
      </c>
      <c r="K183" s="17">
        <v>2</v>
      </c>
      <c r="L183" s="5">
        <v>170</v>
      </c>
      <c r="M183" s="5">
        <v>95</v>
      </c>
      <c r="N183" s="6">
        <v>0</v>
      </c>
      <c r="O183" s="15">
        <f>Sales[[#This Row],[Quantity]]*Sales[[#This Row],[Unit Price]]*(1-Sales[[#This Row],[Discount Rate]])</f>
        <v>340</v>
      </c>
      <c r="P183" s="15">
        <f>Sales[[#This Row],[Unit Cost]]*Sales[[#This Row],[Quantity]]</f>
        <v>190</v>
      </c>
      <c r="Q183" s="15">
        <f>Sales[[#This Row],[Revenue]]-Sales[[#This Row],[Product cost]]</f>
        <v>150</v>
      </c>
      <c r="R183" s="21">
        <f>Sales[[#This Row],[Gross Profit]]/Sales[[#This Row],[Revenue]]</f>
        <v>0.44117647058823528</v>
      </c>
    </row>
    <row r="184" spans="1:18">
      <c r="A184" t="s">
        <v>356</v>
      </c>
      <c r="B184" s="4">
        <v>46197</v>
      </c>
      <c r="C184" t="s">
        <v>48</v>
      </c>
      <c r="D184" t="s">
        <v>49</v>
      </c>
      <c r="E184" t="s">
        <v>50</v>
      </c>
      <c r="F184" t="s">
        <v>175</v>
      </c>
      <c r="G184" t="s">
        <v>106</v>
      </c>
      <c r="H184" t="s">
        <v>107</v>
      </c>
      <c r="I184" t="s">
        <v>58</v>
      </c>
      <c r="J184" t="s">
        <v>153</v>
      </c>
      <c r="K184" s="17">
        <v>2</v>
      </c>
      <c r="L184" s="5">
        <v>170</v>
      </c>
      <c r="M184" s="5">
        <v>95</v>
      </c>
      <c r="N184" s="6">
        <v>0</v>
      </c>
      <c r="O184" s="15">
        <f>Sales[[#This Row],[Quantity]]*Sales[[#This Row],[Unit Price]]*(1-Sales[[#This Row],[Discount Rate]])</f>
        <v>340</v>
      </c>
      <c r="P184" s="15">
        <f>Sales[[#This Row],[Unit Cost]]*Sales[[#This Row],[Quantity]]</f>
        <v>190</v>
      </c>
      <c r="Q184" s="15">
        <f>Sales[[#This Row],[Revenue]]-Sales[[#This Row],[Product cost]]</f>
        <v>150</v>
      </c>
      <c r="R184" s="21">
        <f>Sales[[#This Row],[Gross Profit]]/Sales[[#This Row],[Revenue]]</f>
        <v>0.44117647058823528</v>
      </c>
    </row>
    <row r="185" spans="1:18">
      <c r="A185" t="s">
        <v>357</v>
      </c>
      <c r="B185" s="4">
        <v>46160</v>
      </c>
      <c r="C185" t="s">
        <v>46</v>
      </c>
      <c r="D185" t="s">
        <v>47</v>
      </c>
      <c r="E185" t="s">
        <v>43</v>
      </c>
      <c r="F185" t="s">
        <v>178</v>
      </c>
      <c r="G185" t="s">
        <v>104</v>
      </c>
      <c r="H185" t="s">
        <v>105</v>
      </c>
      <c r="I185" t="s">
        <v>63</v>
      </c>
      <c r="J185" t="s">
        <v>153</v>
      </c>
      <c r="K185" s="17">
        <v>6</v>
      </c>
      <c r="L185" s="5">
        <v>55</v>
      </c>
      <c r="M185" s="5">
        <v>22</v>
      </c>
      <c r="N185" s="6">
        <v>0</v>
      </c>
      <c r="O185" s="15">
        <f>Sales[[#This Row],[Quantity]]*Sales[[#This Row],[Unit Price]]*(1-Sales[[#This Row],[Discount Rate]])</f>
        <v>330</v>
      </c>
      <c r="P185" s="15">
        <f>Sales[[#This Row],[Unit Cost]]*Sales[[#This Row],[Quantity]]</f>
        <v>132</v>
      </c>
      <c r="Q185" s="15">
        <f>Sales[[#This Row],[Revenue]]-Sales[[#This Row],[Product cost]]</f>
        <v>198</v>
      </c>
      <c r="R185" s="21">
        <f>Sales[[#This Row],[Gross Profit]]/Sales[[#This Row],[Revenue]]</f>
        <v>0.6</v>
      </c>
    </row>
    <row r="186" spans="1:18">
      <c r="A186" t="s">
        <v>358</v>
      </c>
      <c r="B186" s="4">
        <v>46161</v>
      </c>
      <c r="C186" t="s">
        <v>46</v>
      </c>
      <c r="D186" t="s">
        <v>47</v>
      </c>
      <c r="E186" t="s">
        <v>43</v>
      </c>
      <c r="F186" t="s">
        <v>178</v>
      </c>
      <c r="G186" t="s">
        <v>80</v>
      </c>
      <c r="H186" t="s">
        <v>81</v>
      </c>
      <c r="I186" t="s">
        <v>63</v>
      </c>
      <c r="J186" t="s">
        <v>152</v>
      </c>
      <c r="K186" s="17">
        <v>7</v>
      </c>
      <c r="L186" s="5">
        <v>55</v>
      </c>
      <c r="M186" s="5">
        <v>22</v>
      </c>
      <c r="N186" s="6">
        <v>0.15</v>
      </c>
      <c r="O186" s="15">
        <f>Sales[[#This Row],[Quantity]]*Sales[[#This Row],[Unit Price]]*(1-Sales[[#This Row],[Discount Rate]])</f>
        <v>327.25</v>
      </c>
      <c r="P186" s="15">
        <f>Sales[[#This Row],[Unit Cost]]*Sales[[#This Row],[Quantity]]</f>
        <v>154</v>
      </c>
      <c r="Q186" s="15">
        <f>Sales[[#This Row],[Revenue]]-Sales[[#This Row],[Product cost]]</f>
        <v>173.25</v>
      </c>
      <c r="R186" s="21">
        <f>Sales[[#This Row],[Gross Profit]]/Sales[[#This Row],[Revenue]]</f>
        <v>0.52941176470588236</v>
      </c>
    </row>
    <row r="187" spans="1:18">
      <c r="A187" t="s">
        <v>359</v>
      </c>
      <c r="B187" s="4">
        <v>46099</v>
      </c>
      <c r="C187" t="s">
        <v>37</v>
      </c>
      <c r="D187" t="s">
        <v>38</v>
      </c>
      <c r="E187" t="s">
        <v>36</v>
      </c>
      <c r="F187" t="s">
        <v>175</v>
      </c>
      <c r="G187" t="s">
        <v>66</v>
      </c>
      <c r="H187" t="s">
        <v>67</v>
      </c>
      <c r="I187" t="s">
        <v>58</v>
      </c>
      <c r="J187" t="s">
        <v>151</v>
      </c>
      <c r="K187" s="17">
        <v>2</v>
      </c>
      <c r="L187" s="5">
        <v>180</v>
      </c>
      <c r="M187" s="5">
        <v>95</v>
      </c>
      <c r="N187" s="6">
        <v>0.15</v>
      </c>
      <c r="O187" s="15">
        <f>Sales[[#This Row],[Quantity]]*Sales[[#This Row],[Unit Price]]*(1-Sales[[#This Row],[Discount Rate]])</f>
        <v>306</v>
      </c>
      <c r="P187" s="15">
        <f>Sales[[#This Row],[Unit Cost]]*Sales[[#This Row],[Quantity]]</f>
        <v>190</v>
      </c>
      <c r="Q187" s="15">
        <f>Sales[[#This Row],[Revenue]]-Sales[[#This Row],[Product cost]]</f>
        <v>116</v>
      </c>
      <c r="R187" s="21">
        <f>Sales[[#This Row],[Gross Profit]]/Sales[[#This Row],[Revenue]]</f>
        <v>0.37908496732026142</v>
      </c>
    </row>
    <row r="188" spans="1:18">
      <c r="A188" t="s">
        <v>360</v>
      </c>
      <c r="B188" s="4">
        <v>46127</v>
      </c>
      <c r="C188" t="s">
        <v>37</v>
      </c>
      <c r="D188" t="s">
        <v>38</v>
      </c>
      <c r="E188" t="s">
        <v>36</v>
      </c>
      <c r="F188" t="s">
        <v>175</v>
      </c>
      <c r="G188" t="s">
        <v>94</v>
      </c>
      <c r="H188" t="s">
        <v>95</v>
      </c>
      <c r="I188" t="s">
        <v>58</v>
      </c>
      <c r="J188" t="s">
        <v>151</v>
      </c>
      <c r="K188" s="17">
        <v>2</v>
      </c>
      <c r="L188" s="5">
        <v>180</v>
      </c>
      <c r="M188" s="5">
        <v>95</v>
      </c>
      <c r="N188" s="6">
        <v>0.15</v>
      </c>
      <c r="O188" s="15">
        <f>Sales[[#This Row],[Quantity]]*Sales[[#This Row],[Unit Price]]*(1-Sales[[#This Row],[Discount Rate]])</f>
        <v>306</v>
      </c>
      <c r="P188" s="15">
        <f>Sales[[#This Row],[Unit Cost]]*Sales[[#This Row],[Quantity]]</f>
        <v>190</v>
      </c>
      <c r="Q188" s="15">
        <f>Sales[[#This Row],[Revenue]]-Sales[[#This Row],[Product cost]]</f>
        <v>116</v>
      </c>
      <c r="R188" s="21">
        <f>Sales[[#This Row],[Gross Profit]]/Sales[[#This Row],[Revenue]]</f>
        <v>0.37908496732026142</v>
      </c>
    </row>
    <row r="189" spans="1:18">
      <c r="A189" t="s">
        <v>361</v>
      </c>
      <c r="B189" s="4">
        <v>46070</v>
      </c>
      <c r="C189" t="s">
        <v>48</v>
      </c>
      <c r="D189" t="s">
        <v>49</v>
      </c>
      <c r="E189" t="s">
        <v>50</v>
      </c>
      <c r="F189" t="s">
        <v>171</v>
      </c>
      <c r="G189" t="s">
        <v>132</v>
      </c>
      <c r="H189" t="s">
        <v>133</v>
      </c>
      <c r="I189" t="s">
        <v>58</v>
      </c>
      <c r="J189" t="s">
        <v>153</v>
      </c>
      <c r="K189" s="17">
        <v>2</v>
      </c>
      <c r="L189" s="5">
        <v>178.5</v>
      </c>
      <c r="M189" s="5">
        <v>95</v>
      </c>
      <c r="N189" s="6">
        <v>0.15</v>
      </c>
      <c r="O189" s="15">
        <f>Sales[[#This Row],[Quantity]]*Sales[[#This Row],[Unit Price]]*(1-Sales[[#This Row],[Discount Rate]])</f>
        <v>303.45</v>
      </c>
      <c r="P189" s="15">
        <f>Sales[[#This Row],[Unit Cost]]*Sales[[#This Row],[Quantity]]</f>
        <v>190</v>
      </c>
      <c r="Q189" s="15">
        <f>Sales[[#This Row],[Revenue]]-Sales[[#This Row],[Product cost]]</f>
        <v>113.44999999999999</v>
      </c>
      <c r="R189" s="21">
        <f>Sales[[#This Row],[Gross Profit]]/Sales[[#This Row],[Revenue]]</f>
        <v>0.37386719393639806</v>
      </c>
    </row>
    <row r="190" spans="1:18">
      <c r="A190" t="s">
        <v>362</v>
      </c>
      <c r="B190" s="4">
        <v>46043</v>
      </c>
      <c r="C190" t="s">
        <v>41</v>
      </c>
      <c r="D190" t="s">
        <v>42</v>
      </c>
      <c r="E190" t="s">
        <v>43</v>
      </c>
      <c r="F190" t="s">
        <v>175</v>
      </c>
      <c r="G190" t="s">
        <v>110</v>
      </c>
      <c r="H190" t="s">
        <v>111</v>
      </c>
      <c r="I190" t="s">
        <v>63</v>
      </c>
      <c r="J190" t="s">
        <v>150</v>
      </c>
      <c r="K190" s="17">
        <v>9</v>
      </c>
      <c r="L190" s="5">
        <v>33.25</v>
      </c>
      <c r="M190" s="5">
        <v>14</v>
      </c>
      <c r="N190" s="6">
        <v>0</v>
      </c>
      <c r="O190" s="15">
        <f>Sales[[#This Row],[Quantity]]*Sales[[#This Row],[Unit Price]]*(1-Sales[[#This Row],[Discount Rate]])</f>
        <v>299.25</v>
      </c>
      <c r="P190" s="15">
        <f>Sales[[#This Row],[Unit Cost]]*Sales[[#This Row],[Quantity]]</f>
        <v>126</v>
      </c>
      <c r="Q190" s="15">
        <f>Sales[[#This Row],[Revenue]]-Sales[[#This Row],[Product cost]]</f>
        <v>173.25</v>
      </c>
      <c r="R190" s="21">
        <f>Sales[[#This Row],[Gross Profit]]/Sales[[#This Row],[Revenue]]</f>
        <v>0.57894736842105265</v>
      </c>
    </row>
    <row r="191" spans="1:18">
      <c r="A191" t="s">
        <v>363</v>
      </c>
      <c r="B191" s="4">
        <v>46165</v>
      </c>
      <c r="C191" t="s">
        <v>41</v>
      </c>
      <c r="D191" t="s">
        <v>42</v>
      </c>
      <c r="E191" t="s">
        <v>43</v>
      </c>
      <c r="F191" t="s">
        <v>173</v>
      </c>
      <c r="G191" t="s">
        <v>128</v>
      </c>
      <c r="H191" t="s">
        <v>129</v>
      </c>
      <c r="I191" t="s">
        <v>63</v>
      </c>
      <c r="J191" t="s">
        <v>153</v>
      </c>
      <c r="K191" s="17">
        <v>10</v>
      </c>
      <c r="L191" s="5">
        <v>35</v>
      </c>
      <c r="M191" s="5">
        <v>14</v>
      </c>
      <c r="N191" s="6">
        <v>0.15</v>
      </c>
      <c r="O191" s="15">
        <f>Sales[[#This Row],[Quantity]]*Sales[[#This Row],[Unit Price]]*(1-Sales[[#This Row],[Discount Rate]])</f>
        <v>297.5</v>
      </c>
      <c r="P191" s="15">
        <f>Sales[[#This Row],[Unit Cost]]*Sales[[#This Row],[Quantity]]</f>
        <v>140</v>
      </c>
      <c r="Q191" s="15">
        <f>Sales[[#This Row],[Revenue]]-Sales[[#This Row],[Product cost]]</f>
        <v>157.5</v>
      </c>
      <c r="R191" s="21">
        <f>Sales[[#This Row],[Gross Profit]]/Sales[[#This Row],[Revenue]]</f>
        <v>0.52941176470588236</v>
      </c>
    </row>
    <row r="192" spans="1:18">
      <c r="A192" t="s">
        <v>364</v>
      </c>
      <c r="B192" s="4">
        <v>46043</v>
      </c>
      <c r="C192" t="s">
        <v>46</v>
      </c>
      <c r="D192" t="s">
        <v>47</v>
      </c>
      <c r="E192" t="s">
        <v>43</v>
      </c>
      <c r="F192" t="s">
        <v>173</v>
      </c>
      <c r="G192" t="s">
        <v>104</v>
      </c>
      <c r="H192" t="s">
        <v>105</v>
      </c>
      <c r="I192" t="s">
        <v>63</v>
      </c>
      <c r="J192" t="s">
        <v>151</v>
      </c>
      <c r="K192" s="17">
        <v>6</v>
      </c>
      <c r="L192" s="5">
        <v>55</v>
      </c>
      <c r="M192" s="5">
        <v>22</v>
      </c>
      <c r="N192" s="6">
        <v>0.1</v>
      </c>
      <c r="O192" s="15">
        <f>Sales[[#This Row],[Quantity]]*Sales[[#This Row],[Unit Price]]*(1-Sales[[#This Row],[Discount Rate]])</f>
        <v>297</v>
      </c>
      <c r="P192" s="15">
        <f>Sales[[#This Row],[Unit Cost]]*Sales[[#This Row],[Quantity]]</f>
        <v>132</v>
      </c>
      <c r="Q192" s="15">
        <f>Sales[[#This Row],[Revenue]]-Sales[[#This Row],[Product cost]]</f>
        <v>165</v>
      </c>
      <c r="R192" s="21">
        <f>Sales[[#This Row],[Gross Profit]]/Sales[[#This Row],[Revenue]]</f>
        <v>0.55555555555555558</v>
      </c>
    </row>
    <row r="193" spans="1:18">
      <c r="A193" t="s">
        <v>365</v>
      </c>
      <c r="B193" s="4">
        <v>46165</v>
      </c>
      <c r="C193" t="s">
        <v>48</v>
      </c>
      <c r="D193" t="s">
        <v>49</v>
      </c>
      <c r="E193" t="s">
        <v>50</v>
      </c>
      <c r="F193" t="s">
        <v>178</v>
      </c>
      <c r="G193" t="s">
        <v>64</v>
      </c>
      <c r="H193" t="s">
        <v>65</v>
      </c>
      <c r="I193" t="s">
        <v>58</v>
      </c>
      <c r="J193" t="s">
        <v>150</v>
      </c>
      <c r="K193" s="17">
        <v>2</v>
      </c>
      <c r="L193" s="5">
        <v>170</v>
      </c>
      <c r="M193" s="5">
        <v>95</v>
      </c>
      <c r="N193" s="6">
        <v>0.15</v>
      </c>
      <c r="O193" s="15">
        <f>Sales[[#This Row],[Quantity]]*Sales[[#This Row],[Unit Price]]*(1-Sales[[#This Row],[Discount Rate]])</f>
        <v>289</v>
      </c>
      <c r="P193" s="15">
        <f>Sales[[#This Row],[Unit Cost]]*Sales[[#This Row],[Quantity]]</f>
        <v>190</v>
      </c>
      <c r="Q193" s="15">
        <f>Sales[[#This Row],[Revenue]]-Sales[[#This Row],[Product cost]]</f>
        <v>99</v>
      </c>
      <c r="R193" s="21">
        <f>Sales[[#This Row],[Gross Profit]]/Sales[[#This Row],[Revenue]]</f>
        <v>0.34256055363321797</v>
      </c>
    </row>
    <row r="194" spans="1:18">
      <c r="A194" t="s">
        <v>366</v>
      </c>
      <c r="B194" s="4">
        <v>46065</v>
      </c>
      <c r="C194" t="s">
        <v>46</v>
      </c>
      <c r="D194" t="s">
        <v>47</v>
      </c>
      <c r="E194" t="s">
        <v>43</v>
      </c>
      <c r="F194" t="s">
        <v>173</v>
      </c>
      <c r="G194" t="s">
        <v>134</v>
      </c>
      <c r="H194" t="s">
        <v>135</v>
      </c>
      <c r="I194" t="s">
        <v>63</v>
      </c>
      <c r="J194" t="s">
        <v>151</v>
      </c>
      <c r="K194" s="17">
        <v>5</v>
      </c>
      <c r="L194" s="5">
        <v>55</v>
      </c>
      <c r="M194" s="5">
        <v>22</v>
      </c>
      <c r="N194" s="6">
        <v>0</v>
      </c>
      <c r="O194" s="15">
        <f>Sales[[#This Row],[Quantity]]*Sales[[#This Row],[Unit Price]]*(1-Sales[[#This Row],[Discount Rate]])</f>
        <v>275</v>
      </c>
      <c r="P194" s="15">
        <f>Sales[[#This Row],[Unit Cost]]*Sales[[#This Row],[Quantity]]</f>
        <v>110</v>
      </c>
      <c r="Q194" s="15">
        <f>Sales[[#This Row],[Revenue]]-Sales[[#This Row],[Product cost]]</f>
        <v>165</v>
      </c>
      <c r="R194" s="21">
        <f>Sales[[#This Row],[Gross Profit]]/Sales[[#This Row],[Revenue]]</f>
        <v>0.6</v>
      </c>
    </row>
    <row r="195" spans="1:18">
      <c r="A195" t="s">
        <v>367</v>
      </c>
      <c r="B195" s="4">
        <v>46115</v>
      </c>
      <c r="C195" t="s">
        <v>48</v>
      </c>
      <c r="D195" t="s">
        <v>49</v>
      </c>
      <c r="E195" t="s">
        <v>50</v>
      </c>
      <c r="F195" t="s">
        <v>173</v>
      </c>
      <c r="G195" t="s">
        <v>96</v>
      </c>
      <c r="H195" t="s">
        <v>97</v>
      </c>
      <c r="I195" t="s">
        <v>58</v>
      </c>
      <c r="J195" t="s">
        <v>151</v>
      </c>
      <c r="K195" s="17">
        <v>2</v>
      </c>
      <c r="L195" s="5">
        <v>161.5</v>
      </c>
      <c r="M195" s="5">
        <v>95</v>
      </c>
      <c r="N195" s="6">
        <v>0.15</v>
      </c>
      <c r="O195" s="15">
        <f>Sales[[#This Row],[Quantity]]*Sales[[#This Row],[Unit Price]]*(1-Sales[[#This Row],[Discount Rate]])</f>
        <v>274.55</v>
      </c>
      <c r="P195" s="15">
        <f>Sales[[#This Row],[Unit Cost]]*Sales[[#This Row],[Quantity]]</f>
        <v>190</v>
      </c>
      <c r="Q195" s="15">
        <f>Sales[[#This Row],[Revenue]]-Sales[[#This Row],[Product cost]]</f>
        <v>84.550000000000011</v>
      </c>
      <c r="R195" s="21">
        <f>Sales[[#This Row],[Gross Profit]]/Sales[[#This Row],[Revenue]]</f>
        <v>0.30795847750865057</v>
      </c>
    </row>
    <row r="196" spans="1:18">
      <c r="A196" t="s">
        <v>368</v>
      </c>
      <c r="B196" s="4">
        <v>46121</v>
      </c>
      <c r="C196" t="s">
        <v>48</v>
      </c>
      <c r="D196" t="s">
        <v>49</v>
      </c>
      <c r="E196" t="s">
        <v>50</v>
      </c>
      <c r="F196" t="s">
        <v>178</v>
      </c>
      <c r="G196" t="s">
        <v>132</v>
      </c>
      <c r="H196" t="s">
        <v>133</v>
      </c>
      <c r="I196" t="s">
        <v>58</v>
      </c>
      <c r="J196" t="s">
        <v>151</v>
      </c>
      <c r="K196" s="17">
        <v>2</v>
      </c>
      <c r="L196" s="5">
        <v>161.5</v>
      </c>
      <c r="M196" s="5">
        <v>95</v>
      </c>
      <c r="N196" s="6">
        <v>0.15</v>
      </c>
      <c r="O196" s="15">
        <f>Sales[[#This Row],[Quantity]]*Sales[[#This Row],[Unit Price]]*(1-Sales[[#This Row],[Discount Rate]])</f>
        <v>274.55</v>
      </c>
      <c r="P196" s="15">
        <f>Sales[[#This Row],[Unit Cost]]*Sales[[#This Row],[Quantity]]</f>
        <v>190</v>
      </c>
      <c r="Q196" s="15">
        <f>Sales[[#This Row],[Revenue]]-Sales[[#This Row],[Product cost]]</f>
        <v>84.550000000000011</v>
      </c>
      <c r="R196" s="21">
        <f>Sales[[#This Row],[Gross Profit]]/Sales[[#This Row],[Revenue]]</f>
        <v>0.30795847750865057</v>
      </c>
    </row>
    <row r="197" spans="1:18">
      <c r="A197" t="s">
        <v>369</v>
      </c>
      <c r="B197" s="4">
        <v>46106</v>
      </c>
      <c r="C197" t="s">
        <v>48</v>
      </c>
      <c r="D197" t="s">
        <v>49</v>
      </c>
      <c r="E197" t="s">
        <v>50</v>
      </c>
      <c r="F197" t="s">
        <v>171</v>
      </c>
      <c r="G197" t="s">
        <v>136</v>
      </c>
      <c r="H197" t="s">
        <v>137</v>
      </c>
      <c r="I197" t="s">
        <v>58</v>
      </c>
      <c r="J197" t="s">
        <v>151</v>
      </c>
      <c r="K197" s="17">
        <v>2</v>
      </c>
      <c r="L197" s="5">
        <v>161.5</v>
      </c>
      <c r="M197" s="5">
        <v>95</v>
      </c>
      <c r="N197" s="6">
        <v>0.15</v>
      </c>
      <c r="O197" s="15">
        <f>Sales[[#This Row],[Quantity]]*Sales[[#This Row],[Unit Price]]*(1-Sales[[#This Row],[Discount Rate]])</f>
        <v>274.55</v>
      </c>
      <c r="P197" s="15">
        <f>Sales[[#This Row],[Unit Cost]]*Sales[[#This Row],[Quantity]]</f>
        <v>190</v>
      </c>
      <c r="Q197" s="15">
        <f>Sales[[#This Row],[Revenue]]-Sales[[#This Row],[Product cost]]</f>
        <v>84.550000000000011</v>
      </c>
      <c r="R197" s="21">
        <f>Sales[[#This Row],[Gross Profit]]/Sales[[#This Row],[Revenue]]</f>
        <v>0.30795847750865057</v>
      </c>
    </row>
    <row r="198" spans="1:18">
      <c r="A198" t="s">
        <v>370</v>
      </c>
      <c r="B198" s="4">
        <v>46186</v>
      </c>
      <c r="C198" t="s">
        <v>48</v>
      </c>
      <c r="D198" t="s">
        <v>49</v>
      </c>
      <c r="E198" t="s">
        <v>50</v>
      </c>
      <c r="F198" t="s">
        <v>178</v>
      </c>
      <c r="G198" t="s">
        <v>61</v>
      </c>
      <c r="H198" t="s">
        <v>62</v>
      </c>
      <c r="I198" t="s">
        <v>63</v>
      </c>
      <c r="J198" t="s">
        <v>153</v>
      </c>
      <c r="K198" s="17">
        <v>2</v>
      </c>
      <c r="L198" s="5">
        <v>161.5</v>
      </c>
      <c r="M198" s="5">
        <v>95</v>
      </c>
      <c r="N198" s="6">
        <v>0.15</v>
      </c>
      <c r="O198" s="15">
        <f>Sales[[#This Row],[Quantity]]*Sales[[#This Row],[Unit Price]]*(1-Sales[[#This Row],[Discount Rate]])</f>
        <v>274.55</v>
      </c>
      <c r="P198" s="15">
        <f>Sales[[#This Row],[Unit Cost]]*Sales[[#This Row],[Quantity]]</f>
        <v>190</v>
      </c>
      <c r="Q198" s="15">
        <f>Sales[[#This Row],[Revenue]]-Sales[[#This Row],[Product cost]]</f>
        <v>84.550000000000011</v>
      </c>
      <c r="R198" s="21">
        <f>Sales[[#This Row],[Gross Profit]]/Sales[[#This Row],[Revenue]]</f>
        <v>0.30795847750865057</v>
      </c>
    </row>
    <row r="199" spans="1:18">
      <c r="A199" t="s">
        <v>371</v>
      </c>
      <c r="B199" s="4">
        <v>46137</v>
      </c>
      <c r="C199" t="s">
        <v>39</v>
      </c>
      <c r="D199" t="s">
        <v>40</v>
      </c>
      <c r="E199" t="s">
        <v>36</v>
      </c>
      <c r="F199" t="s">
        <v>171</v>
      </c>
      <c r="G199" t="s">
        <v>132</v>
      </c>
      <c r="H199" t="s">
        <v>133</v>
      </c>
      <c r="I199" t="s">
        <v>58</v>
      </c>
      <c r="J199" t="s">
        <v>152</v>
      </c>
      <c r="K199" s="17">
        <v>1</v>
      </c>
      <c r="L199" s="5">
        <v>273</v>
      </c>
      <c r="M199" s="5">
        <v>155</v>
      </c>
      <c r="N199" s="6">
        <v>0</v>
      </c>
      <c r="O199" s="15">
        <f>Sales[[#This Row],[Quantity]]*Sales[[#This Row],[Unit Price]]*(1-Sales[[#This Row],[Discount Rate]])</f>
        <v>273</v>
      </c>
      <c r="P199" s="15">
        <f>Sales[[#This Row],[Unit Cost]]*Sales[[#This Row],[Quantity]]</f>
        <v>155</v>
      </c>
      <c r="Q199" s="15">
        <f>Sales[[#This Row],[Revenue]]-Sales[[#This Row],[Product cost]]</f>
        <v>118</v>
      </c>
      <c r="R199" s="21">
        <f>Sales[[#This Row],[Gross Profit]]/Sales[[#This Row],[Revenue]]</f>
        <v>0.43223443223443225</v>
      </c>
    </row>
    <row r="200" spans="1:18">
      <c r="A200" t="s">
        <v>372</v>
      </c>
      <c r="B200" s="4">
        <v>46187</v>
      </c>
      <c r="C200" t="s">
        <v>51</v>
      </c>
      <c r="D200" t="s">
        <v>52</v>
      </c>
      <c r="E200" t="s">
        <v>50</v>
      </c>
      <c r="F200" t="s">
        <v>171</v>
      </c>
      <c r="G200" t="s">
        <v>118</v>
      </c>
      <c r="H200" t="s">
        <v>119</v>
      </c>
      <c r="I200" t="s">
        <v>58</v>
      </c>
      <c r="J200" t="s">
        <v>152</v>
      </c>
      <c r="K200" s="17">
        <v>2</v>
      </c>
      <c r="L200" s="5">
        <v>136.5</v>
      </c>
      <c r="M200" s="5">
        <v>65</v>
      </c>
      <c r="N200" s="6">
        <v>0</v>
      </c>
      <c r="O200" s="15">
        <f>Sales[[#This Row],[Quantity]]*Sales[[#This Row],[Unit Price]]*(1-Sales[[#This Row],[Discount Rate]])</f>
        <v>273</v>
      </c>
      <c r="P200" s="15">
        <f>Sales[[#This Row],[Unit Cost]]*Sales[[#This Row],[Quantity]]</f>
        <v>130</v>
      </c>
      <c r="Q200" s="15">
        <f>Sales[[#This Row],[Revenue]]-Sales[[#This Row],[Product cost]]</f>
        <v>143</v>
      </c>
      <c r="R200" s="21">
        <f>Sales[[#This Row],[Gross Profit]]/Sales[[#This Row],[Revenue]]</f>
        <v>0.52380952380952384</v>
      </c>
    </row>
    <row r="201" spans="1:18">
      <c r="A201" t="s">
        <v>373</v>
      </c>
      <c r="B201" s="4">
        <v>46063</v>
      </c>
      <c r="C201" t="s">
        <v>51</v>
      </c>
      <c r="D201" t="s">
        <v>52</v>
      </c>
      <c r="E201" t="s">
        <v>50</v>
      </c>
      <c r="F201" t="s">
        <v>173</v>
      </c>
      <c r="G201" t="s">
        <v>76</v>
      </c>
      <c r="H201" t="s">
        <v>77</v>
      </c>
      <c r="I201" t="s">
        <v>58</v>
      </c>
      <c r="J201" t="s">
        <v>150</v>
      </c>
      <c r="K201" s="17">
        <v>2</v>
      </c>
      <c r="L201" s="5">
        <v>136.5</v>
      </c>
      <c r="M201" s="5">
        <v>65</v>
      </c>
      <c r="N201" s="6">
        <v>0</v>
      </c>
      <c r="O201" s="15">
        <f>Sales[[#This Row],[Quantity]]*Sales[[#This Row],[Unit Price]]*(1-Sales[[#This Row],[Discount Rate]])</f>
        <v>273</v>
      </c>
      <c r="P201" s="15">
        <f>Sales[[#This Row],[Unit Cost]]*Sales[[#This Row],[Quantity]]</f>
        <v>130</v>
      </c>
      <c r="Q201" s="15">
        <f>Sales[[#This Row],[Revenue]]-Sales[[#This Row],[Product cost]]</f>
        <v>143</v>
      </c>
      <c r="R201" s="21">
        <f>Sales[[#This Row],[Gross Profit]]/Sales[[#This Row],[Revenue]]</f>
        <v>0.52380952380952384</v>
      </c>
    </row>
    <row r="202" spans="1:18">
      <c r="A202" t="s">
        <v>374</v>
      </c>
      <c r="B202" s="4">
        <v>46032</v>
      </c>
      <c r="C202" t="s">
        <v>41</v>
      </c>
      <c r="D202" t="s">
        <v>42</v>
      </c>
      <c r="E202" t="s">
        <v>43</v>
      </c>
      <c r="F202" t="s">
        <v>171</v>
      </c>
      <c r="G202" t="s">
        <v>86</v>
      </c>
      <c r="H202" t="s">
        <v>87</v>
      </c>
      <c r="I202" t="s">
        <v>63</v>
      </c>
      <c r="J202" t="s">
        <v>153</v>
      </c>
      <c r="K202" s="17">
        <v>8</v>
      </c>
      <c r="L202" s="5">
        <v>35</v>
      </c>
      <c r="M202" s="5">
        <v>14</v>
      </c>
      <c r="N202" s="6">
        <v>0.05</v>
      </c>
      <c r="O202" s="15">
        <f>Sales[[#This Row],[Quantity]]*Sales[[#This Row],[Unit Price]]*(1-Sales[[#This Row],[Discount Rate]])</f>
        <v>266</v>
      </c>
      <c r="P202" s="15">
        <f>Sales[[#This Row],[Unit Cost]]*Sales[[#This Row],[Quantity]]</f>
        <v>112</v>
      </c>
      <c r="Q202" s="15">
        <f>Sales[[#This Row],[Revenue]]-Sales[[#This Row],[Product cost]]</f>
        <v>154</v>
      </c>
      <c r="R202" s="21">
        <f>Sales[[#This Row],[Gross Profit]]/Sales[[#This Row],[Revenue]]</f>
        <v>0.57894736842105265</v>
      </c>
    </row>
    <row r="203" spans="1:18">
      <c r="A203" t="s">
        <v>375</v>
      </c>
      <c r="B203" s="4">
        <v>46097</v>
      </c>
      <c r="C203" t="s">
        <v>46</v>
      </c>
      <c r="D203" t="s">
        <v>47</v>
      </c>
      <c r="E203" t="s">
        <v>43</v>
      </c>
      <c r="F203" t="s">
        <v>173</v>
      </c>
      <c r="G203" t="s">
        <v>61</v>
      </c>
      <c r="H203" t="s">
        <v>62</v>
      </c>
      <c r="I203" t="s">
        <v>63</v>
      </c>
      <c r="J203" t="s">
        <v>150</v>
      </c>
      <c r="K203" s="17">
        <v>5</v>
      </c>
      <c r="L203" s="5">
        <v>55</v>
      </c>
      <c r="M203" s="5">
        <v>22</v>
      </c>
      <c r="N203" s="6">
        <v>0.05</v>
      </c>
      <c r="O203" s="15">
        <f>Sales[[#This Row],[Quantity]]*Sales[[#This Row],[Unit Price]]*(1-Sales[[#This Row],[Discount Rate]])</f>
        <v>261.25</v>
      </c>
      <c r="P203" s="15">
        <f>Sales[[#This Row],[Unit Cost]]*Sales[[#This Row],[Quantity]]</f>
        <v>110</v>
      </c>
      <c r="Q203" s="15">
        <f>Sales[[#This Row],[Revenue]]-Sales[[#This Row],[Product cost]]</f>
        <v>151.25</v>
      </c>
      <c r="R203" s="21">
        <f>Sales[[#This Row],[Gross Profit]]/Sales[[#This Row],[Revenue]]</f>
        <v>0.57894736842105265</v>
      </c>
    </row>
    <row r="204" spans="1:18">
      <c r="A204" t="s">
        <v>376</v>
      </c>
      <c r="B204" s="4">
        <v>46030</v>
      </c>
      <c r="C204" t="s">
        <v>51</v>
      </c>
      <c r="D204" t="s">
        <v>52</v>
      </c>
      <c r="E204" t="s">
        <v>50</v>
      </c>
      <c r="F204" t="s">
        <v>171</v>
      </c>
      <c r="G204" t="s">
        <v>96</v>
      </c>
      <c r="H204" t="s">
        <v>97</v>
      </c>
      <c r="I204" t="s">
        <v>58</v>
      </c>
      <c r="J204" t="s">
        <v>153</v>
      </c>
      <c r="K204" s="17">
        <v>2</v>
      </c>
      <c r="L204" s="5">
        <v>130</v>
      </c>
      <c r="M204" s="5">
        <v>65</v>
      </c>
      <c r="N204" s="6">
        <v>0</v>
      </c>
      <c r="O204" s="15">
        <f>Sales[[#This Row],[Quantity]]*Sales[[#This Row],[Unit Price]]*(1-Sales[[#This Row],[Discount Rate]])</f>
        <v>260</v>
      </c>
      <c r="P204" s="15">
        <f>Sales[[#This Row],[Unit Cost]]*Sales[[#This Row],[Quantity]]</f>
        <v>130</v>
      </c>
      <c r="Q204" s="15">
        <f>Sales[[#This Row],[Revenue]]-Sales[[#This Row],[Product cost]]</f>
        <v>130</v>
      </c>
      <c r="R204" s="21">
        <f>Sales[[#This Row],[Gross Profit]]/Sales[[#This Row],[Revenue]]</f>
        <v>0.5</v>
      </c>
    </row>
    <row r="205" spans="1:18">
      <c r="A205" t="s">
        <v>377</v>
      </c>
      <c r="B205" s="4">
        <v>46161</v>
      </c>
      <c r="C205" t="s">
        <v>51</v>
      </c>
      <c r="D205" t="s">
        <v>52</v>
      </c>
      <c r="E205" t="s">
        <v>50</v>
      </c>
      <c r="F205" t="s">
        <v>175</v>
      </c>
      <c r="G205" t="s">
        <v>84</v>
      </c>
      <c r="H205" t="s">
        <v>85</v>
      </c>
      <c r="I205" t="s">
        <v>58</v>
      </c>
      <c r="J205" t="s">
        <v>150</v>
      </c>
      <c r="K205" s="17">
        <v>2</v>
      </c>
      <c r="L205" s="5">
        <v>130</v>
      </c>
      <c r="M205" s="5">
        <v>65</v>
      </c>
      <c r="N205" s="6">
        <v>0</v>
      </c>
      <c r="O205" s="15">
        <f>Sales[[#This Row],[Quantity]]*Sales[[#This Row],[Unit Price]]*(1-Sales[[#This Row],[Discount Rate]])</f>
        <v>260</v>
      </c>
      <c r="P205" s="15">
        <f>Sales[[#This Row],[Unit Cost]]*Sales[[#This Row],[Quantity]]</f>
        <v>130</v>
      </c>
      <c r="Q205" s="15">
        <f>Sales[[#This Row],[Revenue]]-Sales[[#This Row],[Product cost]]</f>
        <v>130</v>
      </c>
      <c r="R205" s="21">
        <f>Sales[[#This Row],[Gross Profit]]/Sales[[#This Row],[Revenue]]</f>
        <v>0.5</v>
      </c>
    </row>
    <row r="206" spans="1:18">
      <c r="A206" t="s">
        <v>378</v>
      </c>
      <c r="B206" s="4">
        <v>46028</v>
      </c>
      <c r="C206" t="s">
        <v>51</v>
      </c>
      <c r="D206" t="s">
        <v>52</v>
      </c>
      <c r="E206" t="s">
        <v>50</v>
      </c>
      <c r="F206" t="s">
        <v>173</v>
      </c>
      <c r="G206" t="s">
        <v>102</v>
      </c>
      <c r="H206" t="s">
        <v>103</v>
      </c>
      <c r="I206" t="s">
        <v>58</v>
      </c>
      <c r="J206" t="s">
        <v>150</v>
      </c>
      <c r="K206" s="17">
        <v>2</v>
      </c>
      <c r="L206" s="5">
        <v>130</v>
      </c>
      <c r="M206" s="5">
        <v>65</v>
      </c>
      <c r="N206" s="6">
        <v>0</v>
      </c>
      <c r="O206" s="15">
        <f>Sales[[#This Row],[Quantity]]*Sales[[#This Row],[Unit Price]]*(1-Sales[[#This Row],[Discount Rate]])</f>
        <v>260</v>
      </c>
      <c r="P206" s="15">
        <f>Sales[[#This Row],[Unit Cost]]*Sales[[#This Row],[Quantity]]</f>
        <v>130</v>
      </c>
      <c r="Q206" s="15">
        <f>Sales[[#This Row],[Revenue]]-Sales[[#This Row],[Product cost]]</f>
        <v>130</v>
      </c>
      <c r="R206" s="21">
        <f>Sales[[#This Row],[Gross Profit]]/Sales[[#This Row],[Revenue]]</f>
        <v>0.5</v>
      </c>
    </row>
    <row r="207" spans="1:18">
      <c r="A207" t="s">
        <v>379</v>
      </c>
      <c r="B207" s="4">
        <v>46086</v>
      </c>
      <c r="C207" t="s">
        <v>39</v>
      </c>
      <c r="D207" t="s">
        <v>40</v>
      </c>
      <c r="E207" t="s">
        <v>36</v>
      </c>
      <c r="F207" t="s">
        <v>175</v>
      </c>
      <c r="G207" t="s">
        <v>112</v>
      </c>
      <c r="H207" t="s">
        <v>113</v>
      </c>
      <c r="I207" t="s">
        <v>58</v>
      </c>
      <c r="J207" t="s">
        <v>153</v>
      </c>
      <c r="K207" s="17">
        <v>1</v>
      </c>
      <c r="L207" s="5">
        <v>260</v>
      </c>
      <c r="M207" s="5">
        <v>155</v>
      </c>
      <c r="N207" s="6">
        <v>0</v>
      </c>
      <c r="O207" s="15">
        <f>Sales[[#This Row],[Quantity]]*Sales[[#This Row],[Unit Price]]*(1-Sales[[#This Row],[Discount Rate]])</f>
        <v>260</v>
      </c>
      <c r="P207" s="15">
        <f>Sales[[#This Row],[Unit Cost]]*Sales[[#This Row],[Quantity]]</f>
        <v>155</v>
      </c>
      <c r="Q207" s="15">
        <f>Sales[[#This Row],[Revenue]]-Sales[[#This Row],[Product cost]]</f>
        <v>105</v>
      </c>
      <c r="R207" s="21">
        <f>Sales[[#This Row],[Gross Profit]]/Sales[[#This Row],[Revenue]]</f>
        <v>0.40384615384615385</v>
      </c>
    </row>
    <row r="208" spans="1:18">
      <c r="A208" t="s">
        <v>380</v>
      </c>
      <c r="B208" s="4">
        <v>46062</v>
      </c>
      <c r="C208" t="s">
        <v>51</v>
      </c>
      <c r="D208" t="s">
        <v>52</v>
      </c>
      <c r="E208" t="s">
        <v>50</v>
      </c>
      <c r="F208" t="s">
        <v>175</v>
      </c>
      <c r="G208" t="s">
        <v>120</v>
      </c>
      <c r="H208" t="s">
        <v>121</v>
      </c>
      <c r="I208" t="s">
        <v>58</v>
      </c>
      <c r="J208" t="s">
        <v>150</v>
      </c>
      <c r="K208" s="17">
        <v>2</v>
      </c>
      <c r="L208" s="5">
        <v>130</v>
      </c>
      <c r="M208" s="5">
        <v>65</v>
      </c>
      <c r="N208" s="6">
        <v>0</v>
      </c>
      <c r="O208" s="15">
        <f>Sales[[#This Row],[Quantity]]*Sales[[#This Row],[Unit Price]]*(1-Sales[[#This Row],[Discount Rate]])</f>
        <v>260</v>
      </c>
      <c r="P208" s="15">
        <f>Sales[[#This Row],[Unit Cost]]*Sales[[#This Row],[Quantity]]</f>
        <v>130</v>
      </c>
      <c r="Q208" s="15">
        <f>Sales[[#This Row],[Revenue]]-Sales[[#This Row],[Product cost]]</f>
        <v>130</v>
      </c>
      <c r="R208" s="21">
        <f>Sales[[#This Row],[Gross Profit]]/Sales[[#This Row],[Revenue]]</f>
        <v>0.5</v>
      </c>
    </row>
    <row r="209" spans="1:18">
      <c r="A209" t="s">
        <v>381</v>
      </c>
      <c r="B209" s="4">
        <v>46037</v>
      </c>
      <c r="C209" t="s">
        <v>51</v>
      </c>
      <c r="D209" t="s">
        <v>52</v>
      </c>
      <c r="E209" t="s">
        <v>50</v>
      </c>
      <c r="F209" t="s">
        <v>171</v>
      </c>
      <c r="G209" t="s">
        <v>114</v>
      </c>
      <c r="H209" t="s">
        <v>115</v>
      </c>
      <c r="I209" t="s">
        <v>58</v>
      </c>
      <c r="J209" t="s">
        <v>151</v>
      </c>
      <c r="K209" s="17">
        <v>2</v>
      </c>
      <c r="L209" s="5">
        <v>130</v>
      </c>
      <c r="M209" s="5">
        <v>65</v>
      </c>
      <c r="N209" s="6">
        <v>0.05</v>
      </c>
      <c r="O209" s="15">
        <f>Sales[[#This Row],[Quantity]]*Sales[[#This Row],[Unit Price]]*(1-Sales[[#This Row],[Discount Rate]])</f>
        <v>247</v>
      </c>
      <c r="P209" s="15">
        <f>Sales[[#This Row],[Unit Cost]]*Sales[[#This Row],[Quantity]]</f>
        <v>130</v>
      </c>
      <c r="Q209" s="15">
        <f>Sales[[#This Row],[Revenue]]-Sales[[#This Row],[Product cost]]</f>
        <v>117</v>
      </c>
      <c r="R209" s="21">
        <f>Sales[[#This Row],[Gross Profit]]/Sales[[#This Row],[Revenue]]</f>
        <v>0.47368421052631576</v>
      </c>
    </row>
    <row r="210" spans="1:18">
      <c r="A210" t="s">
        <v>382</v>
      </c>
      <c r="B210" s="4">
        <v>46091</v>
      </c>
      <c r="C210" t="s">
        <v>39</v>
      </c>
      <c r="D210" t="s">
        <v>40</v>
      </c>
      <c r="E210" t="s">
        <v>36</v>
      </c>
      <c r="F210" t="s">
        <v>171</v>
      </c>
      <c r="G210" t="s">
        <v>72</v>
      </c>
      <c r="H210" t="s">
        <v>73</v>
      </c>
      <c r="I210" t="s">
        <v>58</v>
      </c>
      <c r="J210" t="s">
        <v>150</v>
      </c>
      <c r="K210" s="17">
        <v>1</v>
      </c>
      <c r="L210" s="5">
        <v>260</v>
      </c>
      <c r="M210" s="5">
        <v>155</v>
      </c>
      <c r="N210" s="6">
        <v>0.05</v>
      </c>
      <c r="O210" s="15">
        <f>Sales[[#This Row],[Quantity]]*Sales[[#This Row],[Unit Price]]*(1-Sales[[#This Row],[Discount Rate]])</f>
        <v>247</v>
      </c>
      <c r="P210" s="15">
        <f>Sales[[#This Row],[Unit Cost]]*Sales[[#This Row],[Quantity]]</f>
        <v>155</v>
      </c>
      <c r="Q210" s="15">
        <f>Sales[[#This Row],[Revenue]]-Sales[[#This Row],[Product cost]]</f>
        <v>92</v>
      </c>
      <c r="R210" s="21">
        <f>Sales[[#This Row],[Gross Profit]]/Sales[[#This Row],[Revenue]]</f>
        <v>0.37246963562753038</v>
      </c>
    </row>
    <row r="211" spans="1:18">
      <c r="A211" t="s">
        <v>383</v>
      </c>
      <c r="B211" s="4">
        <v>46172</v>
      </c>
      <c r="C211" t="s">
        <v>41</v>
      </c>
      <c r="D211" t="s">
        <v>42</v>
      </c>
      <c r="E211" t="s">
        <v>43</v>
      </c>
      <c r="F211" t="s">
        <v>173</v>
      </c>
      <c r="G211" t="s">
        <v>98</v>
      </c>
      <c r="H211" t="s">
        <v>99</v>
      </c>
      <c r="I211" t="s">
        <v>63</v>
      </c>
      <c r="J211" t="s">
        <v>150</v>
      </c>
      <c r="K211" s="17">
        <v>7</v>
      </c>
      <c r="L211" s="5">
        <v>36.75</v>
      </c>
      <c r="M211" s="5">
        <v>14</v>
      </c>
      <c r="N211" s="6">
        <v>0.05</v>
      </c>
      <c r="O211" s="15">
        <f>Sales[[#This Row],[Quantity]]*Sales[[#This Row],[Unit Price]]*(1-Sales[[#This Row],[Discount Rate]])</f>
        <v>244.38749999999999</v>
      </c>
      <c r="P211" s="15">
        <f>Sales[[#This Row],[Unit Cost]]*Sales[[#This Row],[Quantity]]</f>
        <v>98</v>
      </c>
      <c r="Q211" s="15">
        <f>Sales[[#This Row],[Revenue]]-Sales[[#This Row],[Product cost]]</f>
        <v>146.38749999999999</v>
      </c>
      <c r="R211" s="21">
        <f>Sales[[#This Row],[Gross Profit]]/Sales[[#This Row],[Revenue]]</f>
        <v>0.59899749373433586</v>
      </c>
    </row>
    <row r="212" spans="1:18">
      <c r="A212" t="s">
        <v>384</v>
      </c>
      <c r="B212" s="4">
        <v>46183</v>
      </c>
      <c r="C212" t="s">
        <v>44</v>
      </c>
      <c r="D212" t="s">
        <v>45</v>
      </c>
      <c r="E212" t="s">
        <v>43</v>
      </c>
      <c r="F212" t="s">
        <v>171</v>
      </c>
      <c r="G212" t="s">
        <v>134</v>
      </c>
      <c r="H212" t="s">
        <v>135</v>
      </c>
      <c r="I212" t="s">
        <v>63</v>
      </c>
      <c r="J212" t="s">
        <v>152</v>
      </c>
      <c r="K212" s="17">
        <v>12</v>
      </c>
      <c r="L212" s="5">
        <v>21</v>
      </c>
      <c r="M212" s="5">
        <v>7</v>
      </c>
      <c r="N212" s="6">
        <v>0.05</v>
      </c>
      <c r="O212" s="15">
        <f>Sales[[#This Row],[Quantity]]*Sales[[#This Row],[Unit Price]]*(1-Sales[[#This Row],[Discount Rate]])</f>
        <v>239.39999999999998</v>
      </c>
      <c r="P212" s="15">
        <f>Sales[[#This Row],[Unit Cost]]*Sales[[#This Row],[Quantity]]</f>
        <v>84</v>
      </c>
      <c r="Q212" s="15">
        <f>Sales[[#This Row],[Revenue]]-Sales[[#This Row],[Product cost]]</f>
        <v>155.39999999999998</v>
      </c>
      <c r="R212" s="21">
        <f>Sales[[#This Row],[Gross Profit]]/Sales[[#This Row],[Revenue]]</f>
        <v>0.64912280701754388</v>
      </c>
    </row>
    <row r="213" spans="1:18">
      <c r="A213" t="s">
        <v>385</v>
      </c>
      <c r="B213" s="4">
        <v>46027</v>
      </c>
      <c r="C213" t="s">
        <v>41</v>
      </c>
      <c r="D213" t="s">
        <v>42</v>
      </c>
      <c r="E213" t="s">
        <v>43</v>
      </c>
      <c r="F213" t="s">
        <v>171</v>
      </c>
      <c r="G213" t="s">
        <v>86</v>
      </c>
      <c r="H213" t="s">
        <v>87</v>
      </c>
      <c r="I213" t="s">
        <v>63</v>
      </c>
      <c r="J213" t="s">
        <v>153</v>
      </c>
      <c r="K213" s="17">
        <v>8</v>
      </c>
      <c r="L213" s="5">
        <v>35</v>
      </c>
      <c r="M213" s="5">
        <v>14</v>
      </c>
      <c r="N213" s="6">
        <v>0.15</v>
      </c>
      <c r="O213" s="15">
        <f>Sales[[#This Row],[Quantity]]*Sales[[#This Row],[Unit Price]]*(1-Sales[[#This Row],[Discount Rate]])</f>
        <v>238</v>
      </c>
      <c r="P213" s="15">
        <f>Sales[[#This Row],[Unit Cost]]*Sales[[#This Row],[Quantity]]</f>
        <v>112</v>
      </c>
      <c r="Q213" s="15">
        <f>Sales[[#This Row],[Revenue]]-Sales[[#This Row],[Product cost]]</f>
        <v>126</v>
      </c>
      <c r="R213" s="21">
        <f>Sales[[#This Row],[Gross Profit]]/Sales[[#This Row],[Revenue]]</f>
        <v>0.52941176470588236</v>
      </c>
    </row>
    <row r="214" spans="1:18">
      <c r="A214" t="s">
        <v>386</v>
      </c>
      <c r="B214" s="4">
        <v>46096</v>
      </c>
      <c r="C214" t="s">
        <v>39</v>
      </c>
      <c r="D214" t="s">
        <v>40</v>
      </c>
      <c r="E214" t="s">
        <v>36</v>
      </c>
      <c r="F214" t="s">
        <v>175</v>
      </c>
      <c r="G214" t="s">
        <v>106</v>
      </c>
      <c r="H214" t="s">
        <v>107</v>
      </c>
      <c r="I214" t="s">
        <v>58</v>
      </c>
      <c r="J214" t="s">
        <v>150</v>
      </c>
      <c r="K214" s="17">
        <v>1</v>
      </c>
      <c r="L214" s="5">
        <v>247</v>
      </c>
      <c r="M214" s="5">
        <v>155</v>
      </c>
      <c r="N214" s="6">
        <v>0.05</v>
      </c>
      <c r="O214" s="15">
        <f>Sales[[#This Row],[Quantity]]*Sales[[#This Row],[Unit Price]]*(1-Sales[[#This Row],[Discount Rate]])</f>
        <v>234.64999999999998</v>
      </c>
      <c r="P214" s="15">
        <f>Sales[[#This Row],[Unit Cost]]*Sales[[#This Row],[Quantity]]</f>
        <v>155</v>
      </c>
      <c r="Q214" s="15">
        <f>Sales[[#This Row],[Revenue]]-Sales[[#This Row],[Product cost]]</f>
        <v>79.649999999999977</v>
      </c>
      <c r="R214" s="21">
        <f>Sales[[#This Row],[Gross Profit]]/Sales[[#This Row],[Revenue]]</f>
        <v>0.33944172171318981</v>
      </c>
    </row>
    <row r="215" spans="1:18">
      <c r="A215" t="s">
        <v>387</v>
      </c>
      <c r="B215" s="4">
        <v>46153</v>
      </c>
      <c r="C215" t="s">
        <v>51</v>
      </c>
      <c r="D215" t="s">
        <v>52</v>
      </c>
      <c r="E215" t="s">
        <v>50</v>
      </c>
      <c r="F215" t="s">
        <v>173</v>
      </c>
      <c r="G215" t="s">
        <v>130</v>
      </c>
      <c r="H215" t="s">
        <v>131</v>
      </c>
      <c r="I215" t="s">
        <v>58</v>
      </c>
      <c r="J215" t="s">
        <v>150</v>
      </c>
      <c r="K215" s="17">
        <v>2</v>
      </c>
      <c r="L215" s="5">
        <v>130</v>
      </c>
      <c r="M215" s="5">
        <v>65</v>
      </c>
      <c r="N215" s="6">
        <v>0.1</v>
      </c>
      <c r="O215" s="15">
        <f>Sales[[#This Row],[Quantity]]*Sales[[#This Row],[Unit Price]]*(1-Sales[[#This Row],[Discount Rate]])</f>
        <v>234</v>
      </c>
      <c r="P215" s="15">
        <f>Sales[[#This Row],[Unit Cost]]*Sales[[#This Row],[Quantity]]</f>
        <v>130</v>
      </c>
      <c r="Q215" s="15">
        <f>Sales[[#This Row],[Revenue]]-Sales[[#This Row],[Product cost]]</f>
        <v>104</v>
      </c>
      <c r="R215" s="21">
        <f>Sales[[#This Row],[Gross Profit]]/Sales[[#This Row],[Revenue]]</f>
        <v>0.44444444444444442</v>
      </c>
    </row>
    <row r="216" spans="1:18">
      <c r="A216" t="s">
        <v>388</v>
      </c>
      <c r="B216" s="4">
        <v>46194</v>
      </c>
      <c r="C216" t="s">
        <v>39</v>
      </c>
      <c r="D216" t="s">
        <v>40</v>
      </c>
      <c r="E216" t="s">
        <v>36</v>
      </c>
      <c r="F216" t="s">
        <v>173</v>
      </c>
      <c r="G216" t="s">
        <v>108</v>
      </c>
      <c r="H216" t="s">
        <v>109</v>
      </c>
      <c r="I216" t="s">
        <v>58</v>
      </c>
      <c r="J216" t="s">
        <v>152</v>
      </c>
      <c r="K216" s="17">
        <v>1</v>
      </c>
      <c r="L216" s="5">
        <v>260</v>
      </c>
      <c r="M216" s="5">
        <v>155</v>
      </c>
      <c r="N216" s="6">
        <v>0.1</v>
      </c>
      <c r="O216" s="15">
        <f>Sales[[#This Row],[Quantity]]*Sales[[#This Row],[Unit Price]]*(1-Sales[[#This Row],[Discount Rate]])</f>
        <v>234</v>
      </c>
      <c r="P216" s="15">
        <f>Sales[[#This Row],[Unit Cost]]*Sales[[#This Row],[Quantity]]</f>
        <v>155</v>
      </c>
      <c r="Q216" s="15">
        <f>Sales[[#This Row],[Revenue]]-Sales[[#This Row],[Product cost]]</f>
        <v>79</v>
      </c>
      <c r="R216" s="21">
        <f>Sales[[#This Row],[Gross Profit]]/Sales[[#This Row],[Revenue]]</f>
        <v>0.33760683760683763</v>
      </c>
    </row>
    <row r="217" spans="1:18">
      <c r="A217" t="s">
        <v>389</v>
      </c>
      <c r="B217" s="4">
        <v>46034</v>
      </c>
      <c r="C217" t="s">
        <v>41</v>
      </c>
      <c r="D217" t="s">
        <v>42</v>
      </c>
      <c r="E217" t="s">
        <v>43</v>
      </c>
      <c r="F217" t="s">
        <v>171</v>
      </c>
      <c r="G217" t="s">
        <v>128</v>
      </c>
      <c r="H217" t="s">
        <v>129</v>
      </c>
      <c r="I217" t="s">
        <v>63</v>
      </c>
      <c r="J217" t="s">
        <v>150</v>
      </c>
      <c r="K217" s="17">
        <v>7</v>
      </c>
      <c r="L217" s="5">
        <v>33.25</v>
      </c>
      <c r="M217" s="5">
        <v>14</v>
      </c>
      <c r="N217" s="6">
        <v>0</v>
      </c>
      <c r="O217" s="15">
        <f>Sales[[#This Row],[Quantity]]*Sales[[#This Row],[Unit Price]]*(1-Sales[[#This Row],[Discount Rate]])</f>
        <v>232.75</v>
      </c>
      <c r="P217" s="15">
        <f>Sales[[#This Row],[Unit Cost]]*Sales[[#This Row],[Quantity]]</f>
        <v>98</v>
      </c>
      <c r="Q217" s="15">
        <f>Sales[[#This Row],[Revenue]]-Sales[[#This Row],[Product cost]]</f>
        <v>134.75</v>
      </c>
      <c r="R217" s="21">
        <f>Sales[[#This Row],[Gross Profit]]/Sales[[#This Row],[Revenue]]</f>
        <v>0.57894736842105265</v>
      </c>
    </row>
    <row r="218" spans="1:18">
      <c r="A218" t="s">
        <v>390</v>
      </c>
      <c r="B218" s="4">
        <v>46140</v>
      </c>
      <c r="C218" t="s">
        <v>39</v>
      </c>
      <c r="D218" t="s">
        <v>40</v>
      </c>
      <c r="E218" t="s">
        <v>36</v>
      </c>
      <c r="F218" t="s">
        <v>178</v>
      </c>
      <c r="G218" t="s">
        <v>94</v>
      </c>
      <c r="H218" t="s">
        <v>95</v>
      </c>
      <c r="I218" t="s">
        <v>58</v>
      </c>
      <c r="J218" t="s">
        <v>151</v>
      </c>
      <c r="K218" s="17">
        <v>1</v>
      </c>
      <c r="L218" s="5">
        <v>273</v>
      </c>
      <c r="M218" s="5">
        <v>155</v>
      </c>
      <c r="N218" s="6">
        <v>0.15</v>
      </c>
      <c r="O218" s="15">
        <f>Sales[[#This Row],[Quantity]]*Sales[[#This Row],[Unit Price]]*(1-Sales[[#This Row],[Discount Rate]])</f>
        <v>232.04999999999998</v>
      </c>
      <c r="P218" s="15">
        <f>Sales[[#This Row],[Unit Cost]]*Sales[[#This Row],[Quantity]]</f>
        <v>155</v>
      </c>
      <c r="Q218" s="15">
        <f>Sales[[#This Row],[Revenue]]-Sales[[#This Row],[Product cost]]</f>
        <v>77.049999999999983</v>
      </c>
      <c r="R218" s="21">
        <f>Sales[[#This Row],[Gross Profit]]/Sales[[#This Row],[Revenue]]</f>
        <v>0.33204050851109668</v>
      </c>
    </row>
    <row r="219" spans="1:18">
      <c r="A219" t="s">
        <v>391</v>
      </c>
      <c r="B219" s="4">
        <v>46074</v>
      </c>
      <c r="C219" t="s">
        <v>41</v>
      </c>
      <c r="D219" t="s">
        <v>42</v>
      </c>
      <c r="E219" t="s">
        <v>43</v>
      </c>
      <c r="F219" t="s">
        <v>175</v>
      </c>
      <c r="G219" t="s">
        <v>80</v>
      </c>
      <c r="H219" t="s">
        <v>81</v>
      </c>
      <c r="I219" t="s">
        <v>63</v>
      </c>
      <c r="J219" t="s">
        <v>153</v>
      </c>
      <c r="K219" s="17">
        <v>7</v>
      </c>
      <c r="L219" s="5">
        <v>36.75</v>
      </c>
      <c r="M219" s="5">
        <v>14</v>
      </c>
      <c r="N219" s="6">
        <v>0.1</v>
      </c>
      <c r="O219" s="15">
        <f>Sales[[#This Row],[Quantity]]*Sales[[#This Row],[Unit Price]]*(1-Sales[[#This Row],[Discount Rate]])</f>
        <v>231.52500000000001</v>
      </c>
      <c r="P219" s="15">
        <f>Sales[[#This Row],[Unit Cost]]*Sales[[#This Row],[Quantity]]</f>
        <v>98</v>
      </c>
      <c r="Q219" s="15">
        <f>Sales[[#This Row],[Revenue]]-Sales[[#This Row],[Product cost]]</f>
        <v>133.52500000000001</v>
      </c>
      <c r="R219" s="21">
        <f>Sales[[#This Row],[Gross Profit]]/Sales[[#This Row],[Revenue]]</f>
        <v>0.57671957671957674</v>
      </c>
    </row>
    <row r="220" spans="1:18">
      <c r="A220" t="s">
        <v>392</v>
      </c>
      <c r="B220" s="4">
        <v>46087</v>
      </c>
      <c r="C220" t="s">
        <v>41</v>
      </c>
      <c r="D220" t="s">
        <v>42</v>
      </c>
      <c r="E220" t="s">
        <v>43</v>
      </c>
      <c r="F220" t="s">
        <v>171</v>
      </c>
      <c r="G220" t="s">
        <v>116</v>
      </c>
      <c r="H220" t="s">
        <v>117</v>
      </c>
      <c r="I220" t="s">
        <v>63</v>
      </c>
      <c r="J220" t="s">
        <v>152</v>
      </c>
      <c r="K220" s="17">
        <v>7</v>
      </c>
      <c r="L220" s="5">
        <v>36.75</v>
      </c>
      <c r="M220" s="5">
        <v>14</v>
      </c>
      <c r="N220" s="6">
        <v>0.1</v>
      </c>
      <c r="O220" s="15">
        <f>Sales[[#This Row],[Quantity]]*Sales[[#This Row],[Unit Price]]*(1-Sales[[#This Row],[Discount Rate]])</f>
        <v>231.52500000000001</v>
      </c>
      <c r="P220" s="15">
        <f>Sales[[#This Row],[Unit Cost]]*Sales[[#This Row],[Quantity]]</f>
        <v>98</v>
      </c>
      <c r="Q220" s="15">
        <f>Sales[[#This Row],[Revenue]]-Sales[[#This Row],[Product cost]]</f>
        <v>133.52500000000001</v>
      </c>
      <c r="R220" s="21">
        <f>Sales[[#This Row],[Gross Profit]]/Sales[[#This Row],[Revenue]]</f>
        <v>0.57671957671957674</v>
      </c>
    </row>
    <row r="221" spans="1:18">
      <c r="A221" t="s">
        <v>393</v>
      </c>
      <c r="B221" s="4">
        <v>46032</v>
      </c>
      <c r="C221" t="s">
        <v>46</v>
      </c>
      <c r="D221" t="s">
        <v>47</v>
      </c>
      <c r="E221" t="s">
        <v>43</v>
      </c>
      <c r="F221" t="s">
        <v>178</v>
      </c>
      <c r="G221" t="s">
        <v>88</v>
      </c>
      <c r="H221" t="s">
        <v>89</v>
      </c>
      <c r="I221" t="s">
        <v>58</v>
      </c>
      <c r="J221" t="s">
        <v>152</v>
      </c>
      <c r="K221" s="17">
        <v>4</v>
      </c>
      <c r="L221" s="5">
        <v>57.75</v>
      </c>
      <c r="M221" s="5">
        <v>22</v>
      </c>
      <c r="N221" s="6">
        <v>0</v>
      </c>
      <c r="O221" s="15">
        <f>Sales[[#This Row],[Quantity]]*Sales[[#This Row],[Unit Price]]*(1-Sales[[#This Row],[Discount Rate]])</f>
        <v>231</v>
      </c>
      <c r="P221" s="15">
        <f>Sales[[#This Row],[Unit Cost]]*Sales[[#This Row],[Quantity]]</f>
        <v>88</v>
      </c>
      <c r="Q221" s="15">
        <f>Sales[[#This Row],[Revenue]]-Sales[[#This Row],[Product cost]]</f>
        <v>143</v>
      </c>
      <c r="R221" s="21">
        <f>Sales[[#This Row],[Gross Profit]]/Sales[[#This Row],[Revenue]]</f>
        <v>0.61904761904761907</v>
      </c>
    </row>
    <row r="222" spans="1:18">
      <c r="A222" t="s">
        <v>394</v>
      </c>
      <c r="B222" s="4">
        <v>46106</v>
      </c>
      <c r="C222" t="s">
        <v>46</v>
      </c>
      <c r="D222" t="s">
        <v>47</v>
      </c>
      <c r="E222" t="s">
        <v>43</v>
      </c>
      <c r="F222" t="s">
        <v>171</v>
      </c>
      <c r="G222" t="s">
        <v>56</v>
      </c>
      <c r="H222" t="s">
        <v>57</v>
      </c>
      <c r="I222" t="s">
        <v>58</v>
      </c>
      <c r="J222" t="s">
        <v>153</v>
      </c>
      <c r="K222" s="17">
        <v>4</v>
      </c>
      <c r="L222" s="5">
        <v>57.75</v>
      </c>
      <c r="M222" s="5">
        <v>22</v>
      </c>
      <c r="N222" s="6">
        <v>0</v>
      </c>
      <c r="O222" s="15">
        <f>Sales[[#This Row],[Quantity]]*Sales[[#This Row],[Unit Price]]*(1-Sales[[#This Row],[Discount Rate]])</f>
        <v>231</v>
      </c>
      <c r="P222" s="15">
        <f>Sales[[#This Row],[Unit Cost]]*Sales[[#This Row],[Quantity]]</f>
        <v>88</v>
      </c>
      <c r="Q222" s="15">
        <f>Sales[[#This Row],[Revenue]]-Sales[[#This Row],[Product cost]]</f>
        <v>143</v>
      </c>
      <c r="R222" s="21">
        <f>Sales[[#This Row],[Gross Profit]]/Sales[[#This Row],[Revenue]]</f>
        <v>0.61904761904761907</v>
      </c>
    </row>
    <row r="223" spans="1:18">
      <c r="A223" t="s">
        <v>395</v>
      </c>
      <c r="B223" s="4">
        <v>46140</v>
      </c>
      <c r="C223" t="s">
        <v>41</v>
      </c>
      <c r="D223" t="s">
        <v>42</v>
      </c>
      <c r="E223" t="s">
        <v>43</v>
      </c>
      <c r="F223" t="s">
        <v>175</v>
      </c>
      <c r="G223" t="s">
        <v>128</v>
      </c>
      <c r="H223" t="s">
        <v>129</v>
      </c>
      <c r="I223" t="s">
        <v>63</v>
      </c>
      <c r="J223" t="s">
        <v>153</v>
      </c>
      <c r="K223" s="17">
        <v>6</v>
      </c>
      <c r="L223" s="5">
        <v>36.75</v>
      </c>
      <c r="M223" s="5">
        <v>14</v>
      </c>
      <c r="N223" s="6">
        <v>0</v>
      </c>
      <c r="O223" s="15">
        <f>Sales[[#This Row],[Quantity]]*Sales[[#This Row],[Unit Price]]*(1-Sales[[#This Row],[Discount Rate]])</f>
        <v>220.5</v>
      </c>
      <c r="P223" s="15">
        <f>Sales[[#This Row],[Unit Cost]]*Sales[[#This Row],[Quantity]]</f>
        <v>84</v>
      </c>
      <c r="Q223" s="15">
        <f>Sales[[#This Row],[Revenue]]-Sales[[#This Row],[Product cost]]</f>
        <v>136.5</v>
      </c>
      <c r="R223" s="21">
        <f>Sales[[#This Row],[Gross Profit]]/Sales[[#This Row],[Revenue]]</f>
        <v>0.61904761904761907</v>
      </c>
    </row>
    <row r="224" spans="1:18">
      <c r="A224" t="s">
        <v>396</v>
      </c>
      <c r="B224" s="4">
        <v>46032</v>
      </c>
      <c r="C224" t="s">
        <v>44</v>
      </c>
      <c r="D224" t="s">
        <v>45</v>
      </c>
      <c r="E224" t="s">
        <v>43</v>
      </c>
      <c r="F224" t="s">
        <v>178</v>
      </c>
      <c r="G224" t="s">
        <v>92</v>
      </c>
      <c r="H224" t="s">
        <v>93</v>
      </c>
      <c r="I224" t="s">
        <v>63</v>
      </c>
      <c r="J224" t="s">
        <v>151</v>
      </c>
      <c r="K224" s="17">
        <v>11</v>
      </c>
      <c r="L224" s="5">
        <v>20</v>
      </c>
      <c r="M224" s="5">
        <v>7</v>
      </c>
      <c r="N224" s="6">
        <v>0</v>
      </c>
      <c r="O224" s="15">
        <f>Sales[[#This Row],[Quantity]]*Sales[[#This Row],[Unit Price]]*(1-Sales[[#This Row],[Discount Rate]])</f>
        <v>220</v>
      </c>
      <c r="P224" s="15">
        <f>Sales[[#This Row],[Unit Cost]]*Sales[[#This Row],[Quantity]]</f>
        <v>77</v>
      </c>
      <c r="Q224" s="15">
        <f>Sales[[#This Row],[Revenue]]-Sales[[#This Row],[Product cost]]</f>
        <v>143</v>
      </c>
      <c r="R224" s="21">
        <f>Sales[[#This Row],[Gross Profit]]/Sales[[#This Row],[Revenue]]</f>
        <v>0.65</v>
      </c>
    </row>
    <row r="225" spans="1:18">
      <c r="A225" t="s">
        <v>397</v>
      </c>
      <c r="B225" s="4">
        <v>46029</v>
      </c>
      <c r="C225" t="s">
        <v>39</v>
      </c>
      <c r="D225" t="s">
        <v>40</v>
      </c>
      <c r="E225" t="s">
        <v>36</v>
      </c>
      <c r="F225" t="s">
        <v>178</v>
      </c>
      <c r="G225" t="s">
        <v>94</v>
      </c>
      <c r="H225" t="s">
        <v>95</v>
      </c>
      <c r="I225" t="s">
        <v>58</v>
      </c>
      <c r="J225" t="s">
        <v>151</v>
      </c>
      <c r="K225" s="17">
        <v>1</v>
      </c>
      <c r="L225" s="5">
        <v>247</v>
      </c>
      <c r="M225" s="5">
        <v>155</v>
      </c>
      <c r="N225" s="6">
        <v>0.15</v>
      </c>
      <c r="O225" s="15">
        <f>Sales[[#This Row],[Quantity]]*Sales[[#This Row],[Unit Price]]*(1-Sales[[#This Row],[Discount Rate]])</f>
        <v>209.95</v>
      </c>
      <c r="P225" s="15">
        <f>Sales[[#This Row],[Unit Cost]]*Sales[[#This Row],[Quantity]]</f>
        <v>155</v>
      </c>
      <c r="Q225" s="15">
        <f>Sales[[#This Row],[Revenue]]-Sales[[#This Row],[Product cost]]</f>
        <v>54.949999999999989</v>
      </c>
      <c r="R225" s="21">
        <f>Sales[[#This Row],[Gross Profit]]/Sales[[#This Row],[Revenue]]</f>
        <v>0.26172898309121218</v>
      </c>
    </row>
    <row r="226" spans="1:18">
      <c r="A226" t="s">
        <v>398</v>
      </c>
      <c r="B226" s="4">
        <v>46077</v>
      </c>
      <c r="C226" t="s">
        <v>46</v>
      </c>
      <c r="D226" t="s">
        <v>47</v>
      </c>
      <c r="E226" t="s">
        <v>43</v>
      </c>
      <c r="F226" t="s">
        <v>173</v>
      </c>
      <c r="G226" t="s">
        <v>84</v>
      </c>
      <c r="H226" t="s">
        <v>85</v>
      </c>
      <c r="I226" t="s">
        <v>58</v>
      </c>
      <c r="J226" t="s">
        <v>153</v>
      </c>
      <c r="K226" s="17">
        <v>4</v>
      </c>
      <c r="L226" s="5">
        <v>52.25</v>
      </c>
      <c r="M226" s="5">
        <v>22</v>
      </c>
      <c r="N226" s="6">
        <v>0</v>
      </c>
      <c r="O226" s="15">
        <f>Sales[[#This Row],[Quantity]]*Sales[[#This Row],[Unit Price]]*(1-Sales[[#This Row],[Discount Rate]])</f>
        <v>209</v>
      </c>
      <c r="P226" s="15">
        <f>Sales[[#This Row],[Unit Cost]]*Sales[[#This Row],[Quantity]]</f>
        <v>88</v>
      </c>
      <c r="Q226" s="15">
        <f>Sales[[#This Row],[Revenue]]-Sales[[#This Row],[Product cost]]</f>
        <v>121</v>
      </c>
      <c r="R226" s="21">
        <f>Sales[[#This Row],[Gross Profit]]/Sales[[#This Row],[Revenue]]</f>
        <v>0.57894736842105265</v>
      </c>
    </row>
    <row r="227" spans="1:18">
      <c r="A227" t="s">
        <v>399</v>
      </c>
      <c r="B227" s="4">
        <v>46048</v>
      </c>
      <c r="C227" t="s">
        <v>46</v>
      </c>
      <c r="D227" t="s">
        <v>47</v>
      </c>
      <c r="E227" t="s">
        <v>43</v>
      </c>
      <c r="F227" t="s">
        <v>173</v>
      </c>
      <c r="G227" t="s">
        <v>66</v>
      </c>
      <c r="H227" t="s">
        <v>67</v>
      </c>
      <c r="I227" t="s">
        <v>58</v>
      </c>
      <c r="J227" t="s">
        <v>153</v>
      </c>
      <c r="K227" s="17">
        <v>4</v>
      </c>
      <c r="L227" s="5">
        <v>55</v>
      </c>
      <c r="M227" s="5">
        <v>22</v>
      </c>
      <c r="N227" s="6">
        <v>0.05</v>
      </c>
      <c r="O227" s="15">
        <f>Sales[[#This Row],[Quantity]]*Sales[[#This Row],[Unit Price]]*(1-Sales[[#This Row],[Discount Rate]])</f>
        <v>209</v>
      </c>
      <c r="P227" s="15">
        <f>Sales[[#This Row],[Unit Cost]]*Sales[[#This Row],[Quantity]]</f>
        <v>88</v>
      </c>
      <c r="Q227" s="15">
        <f>Sales[[#This Row],[Revenue]]-Sales[[#This Row],[Product cost]]</f>
        <v>121</v>
      </c>
      <c r="R227" s="21">
        <f>Sales[[#This Row],[Gross Profit]]/Sales[[#This Row],[Revenue]]</f>
        <v>0.57894736842105265</v>
      </c>
    </row>
    <row r="228" spans="1:18">
      <c r="A228" t="s">
        <v>400</v>
      </c>
      <c r="B228" s="4">
        <v>46174</v>
      </c>
      <c r="C228" t="s">
        <v>41</v>
      </c>
      <c r="D228" t="s">
        <v>42</v>
      </c>
      <c r="E228" t="s">
        <v>43</v>
      </c>
      <c r="F228" t="s">
        <v>175</v>
      </c>
      <c r="G228" t="s">
        <v>61</v>
      </c>
      <c r="H228" t="s">
        <v>62</v>
      </c>
      <c r="I228" t="s">
        <v>63</v>
      </c>
      <c r="J228" t="s">
        <v>152</v>
      </c>
      <c r="K228" s="17">
        <v>7</v>
      </c>
      <c r="L228" s="5">
        <v>35</v>
      </c>
      <c r="M228" s="5">
        <v>14</v>
      </c>
      <c r="N228" s="6">
        <v>0.15</v>
      </c>
      <c r="O228" s="15">
        <f>Sales[[#This Row],[Quantity]]*Sales[[#This Row],[Unit Price]]*(1-Sales[[#This Row],[Discount Rate]])</f>
        <v>208.25</v>
      </c>
      <c r="P228" s="15">
        <f>Sales[[#This Row],[Unit Cost]]*Sales[[#This Row],[Quantity]]</f>
        <v>98</v>
      </c>
      <c r="Q228" s="15">
        <f>Sales[[#This Row],[Revenue]]-Sales[[#This Row],[Product cost]]</f>
        <v>110.25</v>
      </c>
      <c r="R228" s="21">
        <f>Sales[[#This Row],[Gross Profit]]/Sales[[#This Row],[Revenue]]</f>
        <v>0.52941176470588236</v>
      </c>
    </row>
    <row r="229" spans="1:18">
      <c r="A229" t="s">
        <v>401</v>
      </c>
      <c r="B229" s="4">
        <v>46114</v>
      </c>
      <c r="C229" t="s">
        <v>41</v>
      </c>
      <c r="D229" t="s">
        <v>42</v>
      </c>
      <c r="E229" t="s">
        <v>43</v>
      </c>
      <c r="F229" t="s">
        <v>175</v>
      </c>
      <c r="G229" t="s">
        <v>80</v>
      </c>
      <c r="H229" t="s">
        <v>81</v>
      </c>
      <c r="I229" t="s">
        <v>63</v>
      </c>
      <c r="J229" t="s">
        <v>151</v>
      </c>
      <c r="K229" s="17">
        <v>6</v>
      </c>
      <c r="L229" s="5">
        <v>35</v>
      </c>
      <c r="M229" s="5">
        <v>14</v>
      </c>
      <c r="N229" s="6">
        <v>0.05</v>
      </c>
      <c r="O229" s="15">
        <f>Sales[[#This Row],[Quantity]]*Sales[[#This Row],[Unit Price]]*(1-Sales[[#This Row],[Discount Rate]])</f>
        <v>199.5</v>
      </c>
      <c r="P229" s="15">
        <f>Sales[[#This Row],[Unit Cost]]*Sales[[#This Row],[Quantity]]</f>
        <v>84</v>
      </c>
      <c r="Q229" s="15">
        <f>Sales[[#This Row],[Revenue]]-Sales[[#This Row],[Product cost]]</f>
        <v>115.5</v>
      </c>
      <c r="R229" s="21">
        <f>Sales[[#This Row],[Gross Profit]]/Sales[[#This Row],[Revenue]]</f>
        <v>0.57894736842105265</v>
      </c>
    </row>
    <row r="230" spans="1:18">
      <c r="A230" t="s">
        <v>402</v>
      </c>
      <c r="B230" s="4">
        <v>46148</v>
      </c>
      <c r="C230" t="s">
        <v>41</v>
      </c>
      <c r="D230" t="s">
        <v>42</v>
      </c>
      <c r="E230" t="s">
        <v>43</v>
      </c>
      <c r="F230" t="s">
        <v>171</v>
      </c>
      <c r="G230" t="s">
        <v>104</v>
      </c>
      <c r="H230" t="s">
        <v>105</v>
      </c>
      <c r="I230" t="s">
        <v>63</v>
      </c>
      <c r="J230" t="s">
        <v>153</v>
      </c>
      <c r="K230" s="17">
        <v>6</v>
      </c>
      <c r="L230" s="5">
        <v>33.25</v>
      </c>
      <c r="M230" s="5">
        <v>14</v>
      </c>
      <c r="N230" s="6">
        <v>0</v>
      </c>
      <c r="O230" s="15">
        <f>Sales[[#This Row],[Quantity]]*Sales[[#This Row],[Unit Price]]*(1-Sales[[#This Row],[Discount Rate]])</f>
        <v>199.5</v>
      </c>
      <c r="P230" s="15">
        <f>Sales[[#This Row],[Unit Cost]]*Sales[[#This Row],[Quantity]]</f>
        <v>84</v>
      </c>
      <c r="Q230" s="15">
        <f>Sales[[#This Row],[Revenue]]-Sales[[#This Row],[Product cost]]</f>
        <v>115.5</v>
      </c>
      <c r="R230" s="21">
        <f>Sales[[#This Row],[Gross Profit]]/Sales[[#This Row],[Revenue]]</f>
        <v>0.57894736842105265</v>
      </c>
    </row>
    <row r="231" spans="1:18">
      <c r="A231" t="s">
        <v>403</v>
      </c>
      <c r="B231" s="4">
        <v>46079</v>
      </c>
      <c r="C231" t="s">
        <v>37</v>
      </c>
      <c r="D231" t="s">
        <v>38</v>
      </c>
      <c r="E231" t="s">
        <v>36</v>
      </c>
      <c r="F231" t="s">
        <v>171</v>
      </c>
      <c r="G231" t="s">
        <v>56</v>
      </c>
      <c r="H231" t="s">
        <v>57</v>
      </c>
      <c r="I231" t="s">
        <v>58</v>
      </c>
      <c r="J231" t="s">
        <v>153</v>
      </c>
      <c r="K231" s="17">
        <v>1</v>
      </c>
      <c r="L231" s="5">
        <v>189</v>
      </c>
      <c r="M231" s="5">
        <v>95</v>
      </c>
      <c r="N231" s="6">
        <v>0</v>
      </c>
      <c r="O231" s="15">
        <f>Sales[[#This Row],[Quantity]]*Sales[[#This Row],[Unit Price]]*(1-Sales[[#This Row],[Discount Rate]])</f>
        <v>189</v>
      </c>
      <c r="P231" s="15">
        <f>Sales[[#This Row],[Unit Cost]]*Sales[[#This Row],[Quantity]]</f>
        <v>95</v>
      </c>
      <c r="Q231" s="15">
        <f>Sales[[#This Row],[Revenue]]-Sales[[#This Row],[Product cost]]</f>
        <v>94</v>
      </c>
      <c r="R231" s="21">
        <f>Sales[[#This Row],[Gross Profit]]/Sales[[#This Row],[Revenue]]</f>
        <v>0.49735449735449733</v>
      </c>
    </row>
    <row r="232" spans="1:18">
      <c r="A232" t="s">
        <v>404</v>
      </c>
      <c r="B232" s="4">
        <v>46133</v>
      </c>
      <c r="C232" t="s">
        <v>37</v>
      </c>
      <c r="D232" t="s">
        <v>38</v>
      </c>
      <c r="E232" t="s">
        <v>36</v>
      </c>
      <c r="F232" t="s">
        <v>175</v>
      </c>
      <c r="G232" t="s">
        <v>112</v>
      </c>
      <c r="H232" t="s">
        <v>113</v>
      </c>
      <c r="I232" t="s">
        <v>58</v>
      </c>
      <c r="J232" t="s">
        <v>153</v>
      </c>
      <c r="K232" s="17">
        <v>1</v>
      </c>
      <c r="L232" s="5">
        <v>180</v>
      </c>
      <c r="M232" s="5">
        <v>95</v>
      </c>
      <c r="N232" s="6">
        <v>0</v>
      </c>
      <c r="O232" s="15">
        <f>Sales[[#This Row],[Quantity]]*Sales[[#This Row],[Unit Price]]*(1-Sales[[#This Row],[Discount Rate]])</f>
        <v>180</v>
      </c>
      <c r="P232" s="15">
        <f>Sales[[#This Row],[Unit Cost]]*Sales[[#This Row],[Quantity]]</f>
        <v>95</v>
      </c>
      <c r="Q232" s="15">
        <f>Sales[[#This Row],[Revenue]]-Sales[[#This Row],[Product cost]]</f>
        <v>85</v>
      </c>
      <c r="R232" s="21">
        <f>Sales[[#This Row],[Gross Profit]]/Sales[[#This Row],[Revenue]]</f>
        <v>0.47222222222222221</v>
      </c>
    </row>
    <row r="233" spans="1:18">
      <c r="A233" t="s">
        <v>405</v>
      </c>
      <c r="B233" s="4">
        <v>46030</v>
      </c>
      <c r="C233" t="s">
        <v>37</v>
      </c>
      <c r="D233" t="s">
        <v>38</v>
      </c>
      <c r="E233" t="s">
        <v>36</v>
      </c>
      <c r="F233" t="s">
        <v>171</v>
      </c>
      <c r="G233" t="s">
        <v>100</v>
      </c>
      <c r="H233" t="s">
        <v>101</v>
      </c>
      <c r="I233" t="s">
        <v>58</v>
      </c>
      <c r="J233" t="s">
        <v>150</v>
      </c>
      <c r="K233" s="17">
        <v>1</v>
      </c>
      <c r="L233" s="5">
        <v>180</v>
      </c>
      <c r="M233" s="5">
        <v>95</v>
      </c>
      <c r="N233" s="6">
        <v>0</v>
      </c>
      <c r="O233" s="15">
        <f>Sales[[#This Row],[Quantity]]*Sales[[#This Row],[Unit Price]]*(1-Sales[[#This Row],[Discount Rate]])</f>
        <v>180</v>
      </c>
      <c r="P233" s="15">
        <f>Sales[[#This Row],[Unit Cost]]*Sales[[#This Row],[Quantity]]</f>
        <v>95</v>
      </c>
      <c r="Q233" s="15">
        <f>Sales[[#This Row],[Revenue]]-Sales[[#This Row],[Product cost]]</f>
        <v>85</v>
      </c>
      <c r="R233" s="21">
        <f>Sales[[#This Row],[Gross Profit]]/Sales[[#This Row],[Revenue]]</f>
        <v>0.47222222222222221</v>
      </c>
    </row>
    <row r="234" spans="1:18">
      <c r="A234" t="s">
        <v>406</v>
      </c>
      <c r="B234" s="4">
        <v>46087</v>
      </c>
      <c r="C234" t="s">
        <v>37</v>
      </c>
      <c r="D234" t="s">
        <v>38</v>
      </c>
      <c r="E234" t="s">
        <v>36</v>
      </c>
      <c r="F234" t="s">
        <v>178</v>
      </c>
      <c r="G234" t="s">
        <v>102</v>
      </c>
      <c r="H234" t="s">
        <v>103</v>
      </c>
      <c r="I234" t="s">
        <v>58</v>
      </c>
      <c r="J234" t="s">
        <v>152</v>
      </c>
      <c r="K234" s="17">
        <v>1</v>
      </c>
      <c r="L234" s="5">
        <v>180</v>
      </c>
      <c r="M234" s="5">
        <v>95</v>
      </c>
      <c r="N234" s="6">
        <v>0</v>
      </c>
      <c r="O234" s="15">
        <f>Sales[[#This Row],[Quantity]]*Sales[[#This Row],[Unit Price]]*(1-Sales[[#This Row],[Discount Rate]])</f>
        <v>180</v>
      </c>
      <c r="P234" s="15">
        <f>Sales[[#This Row],[Unit Cost]]*Sales[[#This Row],[Quantity]]</f>
        <v>95</v>
      </c>
      <c r="Q234" s="15">
        <f>Sales[[#This Row],[Revenue]]-Sales[[#This Row],[Product cost]]</f>
        <v>85</v>
      </c>
      <c r="R234" s="21">
        <f>Sales[[#This Row],[Gross Profit]]/Sales[[#This Row],[Revenue]]</f>
        <v>0.47222222222222221</v>
      </c>
    </row>
    <row r="235" spans="1:18">
      <c r="A235" t="s">
        <v>407</v>
      </c>
      <c r="B235" s="4">
        <v>46104</v>
      </c>
      <c r="C235" t="s">
        <v>37</v>
      </c>
      <c r="D235" t="s">
        <v>38</v>
      </c>
      <c r="E235" t="s">
        <v>36</v>
      </c>
      <c r="F235" t="s">
        <v>178</v>
      </c>
      <c r="G235" t="s">
        <v>56</v>
      </c>
      <c r="H235" t="s">
        <v>57</v>
      </c>
      <c r="I235" t="s">
        <v>58</v>
      </c>
      <c r="J235" t="s">
        <v>152</v>
      </c>
      <c r="K235" s="17">
        <v>1</v>
      </c>
      <c r="L235" s="5">
        <v>180</v>
      </c>
      <c r="M235" s="5">
        <v>95</v>
      </c>
      <c r="N235" s="6">
        <v>0</v>
      </c>
      <c r="O235" s="15">
        <f>Sales[[#This Row],[Quantity]]*Sales[[#This Row],[Unit Price]]*(1-Sales[[#This Row],[Discount Rate]])</f>
        <v>180</v>
      </c>
      <c r="P235" s="15">
        <f>Sales[[#This Row],[Unit Cost]]*Sales[[#This Row],[Quantity]]</f>
        <v>95</v>
      </c>
      <c r="Q235" s="15">
        <f>Sales[[#This Row],[Revenue]]-Sales[[#This Row],[Product cost]]</f>
        <v>85</v>
      </c>
      <c r="R235" s="21">
        <f>Sales[[#This Row],[Gross Profit]]/Sales[[#This Row],[Revenue]]</f>
        <v>0.47222222222222221</v>
      </c>
    </row>
    <row r="236" spans="1:18">
      <c r="A236" t="s">
        <v>408</v>
      </c>
      <c r="B236" s="4">
        <v>46117</v>
      </c>
      <c r="C236" t="s">
        <v>37</v>
      </c>
      <c r="D236" t="s">
        <v>38</v>
      </c>
      <c r="E236" t="s">
        <v>36</v>
      </c>
      <c r="F236" t="s">
        <v>178</v>
      </c>
      <c r="G236" t="s">
        <v>108</v>
      </c>
      <c r="H236" t="s">
        <v>109</v>
      </c>
      <c r="I236" t="s">
        <v>58</v>
      </c>
      <c r="J236" t="s">
        <v>153</v>
      </c>
      <c r="K236" s="17">
        <v>1</v>
      </c>
      <c r="L236" s="5">
        <v>189</v>
      </c>
      <c r="M236" s="5">
        <v>95</v>
      </c>
      <c r="N236" s="6">
        <v>0.05</v>
      </c>
      <c r="O236" s="15">
        <f>Sales[[#This Row],[Quantity]]*Sales[[#This Row],[Unit Price]]*(1-Sales[[#This Row],[Discount Rate]])</f>
        <v>179.54999999999998</v>
      </c>
      <c r="P236" s="15">
        <f>Sales[[#This Row],[Unit Cost]]*Sales[[#This Row],[Quantity]]</f>
        <v>95</v>
      </c>
      <c r="Q236" s="15">
        <f>Sales[[#This Row],[Revenue]]-Sales[[#This Row],[Product cost]]</f>
        <v>84.549999999999983</v>
      </c>
      <c r="R236" s="21">
        <f>Sales[[#This Row],[Gross Profit]]/Sales[[#This Row],[Revenue]]</f>
        <v>0.47089947089947087</v>
      </c>
    </row>
    <row r="237" spans="1:18">
      <c r="A237" t="s">
        <v>409</v>
      </c>
      <c r="B237" s="4">
        <v>46159</v>
      </c>
      <c r="C237" t="s">
        <v>37</v>
      </c>
      <c r="D237" t="s">
        <v>38</v>
      </c>
      <c r="E237" t="s">
        <v>36</v>
      </c>
      <c r="F237" t="s">
        <v>171</v>
      </c>
      <c r="G237" t="s">
        <v>82</v>
      </c>
      <c r="H237" t="s">
        <v>83</v>
      </c>
      <c r="I237" t="s">
        <v>58</v>
      </c>
      <c r="J237" t="s">
        <v>150</v>
      </c>
      <c r="K237" s="17">
        <v>1</v>
      </c>
      <c r="L237" s="5">
        <v>189</v>
      </c>
      <c r="M237" s="5">
        <v>95</v>
      </c>
      <c r="N237" s="6">
        <v>0.05</v>
      </c>
      <c r="O237" s="15">
        <f>Sales[[#This Row],[Quantity]]*Sales[[#This Row],[Unit Price]]*(1-Sales[[#This Row],[Discount Rate]])</f>
        <v>179.54999999999998</v>
      </c>
      <c r="P237" s="15">
        <f>Sales[[#This Row],[Unit Cost]]*Sales[[#This Row],[Quantity]]</f>
        <v>95</v>
      </c>
      <c r="Q237" s="15">
        <f>Sales[[#This Row],[Revenue]]-Sales[[#This Row],[Product cost]]</f>
        <v>84.549999999999983</v>
      </c>
      <c r="R237" s="21">
        <f>Sales[[#This Row],[Gross Profit]]/Sales[[#This Row],[Revenue]]</f>
        <v>0.47089947089947087</v>
      </c>
    </row>
    <row r="238" spans="1:18">
      <c r="A238" t="s">
        <v>410</v>
      </c>
      <c r="B238" s="4">
        <v>46035</v>
      </c>
      <c r="C238" t="s">
        <v>48</v>
      </c>
      <c r="D238" t="s">
        <v>49</v>
      </c>
      <c r="E238" t="s">
        <v>50</v>
      </c>
      <c r="F238" t="s">
        <v>175</v>
      </c>
      <c r="G238" t="s">
        <v>112</v>
      </c>
      <c r="H238" t="s">
        <v>113</v>
      </c>
      <c r="I238" t="s">
        <v>58</v>
      </c>
      <c r="J238" t="s">
        <v>151</v>
      </c>
      <c r="K238" s="17">
        <v>1</v>
      </c>
      <c r="L238" s="5">
        <v>178.5</v>
      </c>
      <c r="M238" s="5">
        <v>95</v>
      </c>
      <c r="N238" s="6">
        <v>0</v>
      </c>
      <c r="O238" s="15">
        <f>Sales[[#This Row],[Quantity]]*Sales[[#This Row],[Unit Price]]*(1-Sales[[#This Row],[Discount Rate]])</f>
        <v>178.5</v>
      </c>
      <c r="P238" s="15">
        <f>Sales[[#This Row],[Unit Cost]]*Sales[[#This Row],[Quantity]]</f>
        <v>95</v>
      </c>
      <c r="Q238" s="15">
        <f>Sales[[#This Row],[Revenue]]-Sales[[#This Row],[Product cost]]</f>
        <v>83.5</v>
      </c>
      <c r="R238" s="21">
        <f>Sales[[#This Row],[Gross Profit]]/Sales[[#This Row],[Revenue]]</f>
        <v>0.46778711484593838</v>
      </c>
    </row>
    <row r="239" spans="1:18">
      <c r="A239" t="s">
        <v>411</v>
      </c>
      <c r="B239" s="4">
        <v>46170</v>
      </c>
      <c r="C239" t="s">
        <v>48</v>
      </c>
      <c r="D239" t="s">
        <v>49</v>
      </c>
      <c r="E239" t="s">
        <v>50</v>
      </c>
      <c r="F239" t="s">
        <v>178</v>
      </c>
      <c r="G239" t="s">
        <v>118</v>
      </c>
      <c r="H239" t="s">
        <v>119</v>
      </c>
      <c r="I239" t="s">
        <v>58</v>
      </c>
      <c r="J239" t="s">
        <v>151</v>
      </c>
      <c r="K239" s="17">
        <v>1</v>
      </c>
      <c r="L239" s="5">
        <v>170</v>
      </c>
      <c r="M239" s="5">
        <v>95</v>
      </c>
      <c r="N239" s="6">
        <v>0</v>
      </c>
      <c r="O239" s="15">
        <f>Sales[[#This Row],[Quantity]]*Sales[[#This Row],[Unit Price]]*(1-Sales[[#This Row],[Discount Rate]])</f>
        <v>170</v>
      </c>
      <c r="P239" s="15">
        <f>Sales[[#This Row],[Unit Cost]]*Sales[[#This Row],[Quantity]]</f>
        <v>95</v>
      </c>
      <c r="Q239" s="15">
        <f>Sales[[#This Row],[Revenue]]-Sales[[#This Row],[Product cost]]</f>
        <v>75</v>
      </c>
      <c r="R239" s="21">
        <f>Sales[[#This Row],[Gross Profit]]/Sales[[#This Row],[Revenue]]</f>
        <v>0.44117647058823528</v>
      </c>
    </row>
    <row r="240" spans="1:18">
      <c r="A240" t="s">
        <v>412</v>
      </c>
      <c r="B240" s="4">
        <v>46155</v>
      </c>
      <c r="C240" t="s">
        <v>44</v>
      </c>
      <c r="D240" t="s">
        <v>45</v>
      </c>
      <c r="E240" t="s">
        <v>43</v>
      </c>
      <c r="F240" t="s">
        <v>175</v>
      </c>
      <c r="G240" t="s">
        <v>80</v>
      </c>
      <c r="H240" t="s">
        <v>81</v>
      </c>
      <c r="I240" t="s">
        <v>63</v>
      </c>
      <c r="J240" t="s">
        <v>153</v>
      </c>
      <c r="K240" s="17">
        <v>10</v>
      </c>
      <c r="L240" s="5">
        <v>20</v>
      </c>
      <c r="M240" s="5">
        <v>7</v>
      </c>
      <c r="N240" s="6">
        <v>0.15</v>
      </c>
      <c r="O240" s="15">
        <f>Sales[[#This Row],[Quantity]]*Sales[[#This Row],[Unit Price]]*(1-Sales[[#This Row],[Discount Rate]])</f>
        <v>170</v>
      </c>
      <c r="P240" s="15">
        <f>Sales[[#This Row],[Unit Cost]]*Sales[[#This Row],[Quantity]]</f>
        <v>70</v>
      </c>
      <c r="Q240" s="15">
        <f>Sales[[#This Row],[Revenue]]-Sales[[#This Row],[Product cost]]</f>
        <v>100</v>
      </c>
      <c r="R240" s="21">
        <f>Sales[[#This Row],[Gross Profit]]/Sales[[#This Row],[Revenue]]</f>
        <v>0.58823529411764708</v>
      </c>
    </row>
    <row r="241" spans="1:18">
      <c r="A241" t="s">
        <v>413</v>
      </c>
      <c r="B241" s="4">
        <v>46053</v>
      </c>
      <c r="C241" t="s">
        <v>48</v>
      </c>
      <c r="D241" t="s">
        <v>49</v>
      </c>
      <c r="E241" t="s">
        <v>50</v>
      </c>
      <c r="F241" t="s">
        <v>178</v>
      </c>
      <c r="G241" t="s">
        <v>88</v>
      </c>
      <c r="H241" t="s">
        <v>89</v>
      </c>
      <c r="I241" t="s">
        <v>58</v>
      </c>
      <c r="J241" t="s">
        <v>152</v>
      </c>
      <c r="K241" s="17">
        <v>1</v>
      </c>
      <c r="L241" s="5">
        <v>170</v>
      </c>
      <c r="M241" s="5">
        <v>95</v>
      </c>
      <c r="N241" s="6">
        <v>0</v>
      </c>
      <c r="O241" s="15">
        <f>Sales[[#This Row],[Quantity]]*Sales[[#This Row],[Unit Price]]*(1-Sales[[#This Row],[Discount Rate]])</f>
        <v>170</v>
      </c>
      <c r="P241" s="15">
        <f>Sales[[#This Row],[Unit Cost]]*Sales[[#This Row],[Quantity]]</f>
        <v>95</v>
      </c>
      <c r="Q241" s="15">
        <f>Sales[[#This Row],[Revenue]]-Sales[[#This Row],[Product cost]]</f>
        <v>75</v>
      </c>
      <c r="R241" s="21">
        <f>Sales[[#This Row],[Gross Profit]]/Sales[[#This Row],[Revenue]]</f>
        <v>0.44117647058823528</v>
      </c>
    </row>
    <row r="242" spans="1:18">
      <c r="A242" t="s">
        <v>414</v>
      </c>
      <c r="B242" s="4">
        <v>46111</v>
      </c>
      <c r="C242" t="s">
        <v>41</v>
      </c>
      <c r="D242" t="s">
        <v>42</v>
      </c>
      <c r="E242" t="s">
        <v>43</v>
      </c>
      <c r="F242" t="s">
        <v>173</v>
      </c>
      <c r="G242" t="s">
        <v>92</v>
      </c>
      <c r="H242" t="s">
        <v>93</v>
      </c>
      <c r="I242" t="s">
        <v>63</v>
      </c>
      <c r="J242" t="s">
        <v>151</v>
      </c>
      <c r="K242" s="17">
        <v>6</v>
      </c>
      <c r="L242" s="5">
        <v>33.25</v>
      </c>
      <c r="M242" s="5">
        <v>14</v>
      </c>
      <c r="N242" s="6">
        <v>0.15</v>
      </c>
      <c r="O242" s="15">
        <f>Sales[[#This Row],[Quantity]]*Sales[[#This Row],[Unit Price]]*(1-Sales[[#This Row],[Discount Rate]])</f>
        <v>169.57499999999999</v>
      </c>
      <c r="P242" s="15">
        <f>Sales[[#This Row],[Unit Cost]]*Sales[[#This Row],[Quantity]]</f>
        <v>84</v>
      </c>
      <c r="Q242" s="15">
        <f>Sales[[#This Row],[Revenue]]-Sales[[#This Row],[Product cost]]</f>
        <v>85.574999999999989</v>
      </c>
      <c r="R242" s="21">
        <f>Sales[[#This Row],[Gross Profit]]/Sales[[#This Row],[Revenue]]</f>
        <v>0.50464396284829716</v>
      </c>
    </row>
    <row r="243" spans="1:18">
      <c r="A243" t="s">
        <v>415</v>
      </c>
      <c r="B243" s="4">
        <v>46056</v>
      </c>
      <c r="C243" t="s">
        <v>46</v>
      </c>
      <c r="D243" t="s">
        <v>47</v>
      </c>
      <c r="E243" t="s">
        <v>43</v>
      </c>
      <c r="F243" t="s">
        <v>175</v>
      </c>
      <c r="G243" t="s">
        <v>108</v>
      </c>
      <c r="H243" t="s">
        <v>109</v>
      </c>
      <c r="I243" t="s">
        <v>58</v>
      </c>
      <c r="J243" t="s">
        <v>151</v>
      </c>
      <c r="K243" s="17">
        <v>3</v>
      </c>
      <c r="L243" s="5">
        <v>55</v>
      </c>
      <c r="M243" s="5">
        <v>22</v>
      </c>
      <c r="N243" s="6">
        <v>0</v>
      </c>
      <c r="O243" s="15">
        <f>Sales[[#This Row],[Quantity]]*Sales[[#This Row],[Unit Price]]*(1-Sales[[#This Row],[Discount Rate]])</f>
        <v>165</v>
      </c>
      <c r="P243" s="15">
        <f>Sales[[#This Row],[Unit Cost]]*Sales[[#This Row],[Quantity]]</f>
        <v>66</v>
      </c>
      <c r="Q243" s="15">
        <f>Sales[[#This Row],[Revenue]]-Sales[[#This Row],[Product cost]]</f>
        <v>99</v>
      </c>
      <c r="R243" s="21">
        <f>Sales[[#This Row],[Gross Profit]]/Sales[[#This Row],[Revenue]]</f>
        <v>0.6</v>
      </c>
    </row>
    <row r="244" spans="1:18">
      <c r="A244" t="s">
        <v>416</v>
      </c>
      <c r="B244" s="4">
        <v>46106</v>
      </c>
      <c r="C244" t="s">
        <v>46</v>
      </c>
      <c r="D244" t="s">
        <v>47</v>
      </c>
      <c r="E244" t="s">
        <v>43</v>
      </c>
      <c r="F244" t="s">
        <v>171</v>
      </c>
      <c r="G244" t="s">
        <v>112</v>
      </c>
      <c r="H244" t="s">
        <v>113</v>
      </c>
      <c r="I244" t="s">
        <v>58</v>
      </c>
      <c r="J244" t="s">
        <v>151</v>
      </c>
      <c r="K244" s="17">
        <v>3</v>
      </c>
      <c r="L244" s="5">
        <v>55</v>
      </c>
      <c r="M244" s="5">
        <v>22</v>
      </c>
      <c r="N244" s="6">
        <v>0</v>
      </c>
      <c r="O244" s="15">
        <f>Sales[[#This Row],[Quantity]]*Sales[[#This Row],[Unit Price]]*(1-Sales[[#This Row],[Discount Rate]])</f>
        <v>165</v>
      </c>
      <c r="P244" s="15">
        <f>Sales[[#This Row],[Unit Cost]]*Sales[[#This Row],[Quantity]]</f>
        <v>66</v>
      </c>
      <c r="Q244" s="15">
        <f>Sales[[#This Row],[Revenue]]-Sales[[#This Row],[Product cost]]</f>
        <v>99</v>
      </c>
      <c r="R244" s="21">
        <f>Sales[[#This Row],[Gross Profit]]/Sales[[#This Row],[Revenue]]</f>
        <v>0.6</v>
      </c>
    </row>
    <row r="245" spans="1:18">
      <c r="A245" t="s">
        <v>417</v>
      </c>
      <c r="B245" s="4">
        <v>46130</v>
      </c>
      <c r="C245" t="s">
        <v>46</v>
      </c>
      <c r="D245" t="s">
        <v>47</v>
      </c>
      <c r="E245" t="s">
        <v>43</v>
      </c>
      <c r="F245" t="s">
        <v>175</v>
      </c>
      <c r="G245" t="s">
        <v>56</v>
      </c>
      <c r="H245" t="s">
        <v>57</v>
      </c>
      <c r="I245" t="s">
        <v>58</v>
      </c>
      <c r="J245" t="s">
        <v>152</v>
      </c>
      <c r="K245" s="17">
        <v>3</v>
      </c>
      <c r="L245" s="5">
        <v>55</v>
      </c>
      <c r="M245" s="5">
        <v>22</v>
      </c>
      <c r="N245" s="6">
        <v>0</v>
      </c>
      <c r="O245" s="15">
        <f>Sales[[#This Row],[Quantity]]*Sales[[#This Row],[Unit Price]]*(1-Sales[[#This Row],[Discount Rate]])</f>
        <v>165</v>
      </c>
      <c r="P245" s="15">
        <f>Sales[[#This Row],[Unit Cost]]*Sales[[#This Row],[Quantity]]</f>
        <v>66</v>
      </c>
      <c r="Q245" s="15">
        <f>Sales[[#This Row],[Revenue]]-Sales[[#This Row],[Product cost]]</f>
        <v>99</v>
      </c>
      <c r="R245" s="21">
        <f>Sales[[#This Row],[Gross Profit]]/Sales[[#This Row],[Revenue]]</f>
        <v>0.6</v>
      </c>
    </row>
    <row r="246" spans="1:18">
      <c r="A246" t="s">
        <v>418</v>
      </c>
      <c r="B246" s="4">
        <v>46166</v>
      </c>
      <c r="C246" t="s">
        <v>46</v>
      </c>
      <c r="D246" t="s">
        <v>47</v>
      </c>
      <c r="E246" t="s">
        <v>43</v>
      </c>
      <c r="F246" t="s">
        <v>175</v>
      </c>
      <c r="G246" t="s">
        <v>68</v>
      </c>
      <c r="H246" t="s">
        <v>69</v>
      </c>
      <c r="I246" t="s">
        <v>63</v>
      </c>
      <c r="J246" t="s">
        <v>153</v>
      </c>
      <c r="K246" s="17">
        <v>3</v>
      </c>
      <c r="L246" s="5">
        <v>55</v>
      </c>
      <c r="M246" s="5">
        <v>22</v>
      </c>
      <c r="N246" s="6">
        <v>0</v>
      </c>
      <c r="O246" s="15">
        <f>Sales[[#This Row],[Quantity]]*Sales[[#This Row],[Unit Price]]*(1-Sales[[#This Row],[Discount Rate]])</f>
        <v>165</v>
      </c>
      <c r="P246" s="15">
        <f>Sales[[#This Row],[Unit Cost]]*Sales[[#This Row],[Quantity]]</f>
        <v>66</v>
      </c>
      <c r="Q246" s="15">
        <f>Sales[[#This Row],[Revenue]]-Sales[[#This Row],[Product cost]]</f>
        <v>99</v>
      </c>
      <c r="R246" s="21">
        <f>Sales[[#This Row],[Gross Profit]]/Sales[[#This Row],[Revenue]]</f>
        <v>0.6</v>
      </c>
    </row>
    <row r="247" spans="1:18">
      <c r="A247" t="s">
        <v>419</v>
      </c>
      <c r="B247" s="4">
        <v>46050</v>
      </c>
      <c r="C247" t="s">
        <v>48</v>
      </c>
      <c r="D247" t="s">
        <v>49</v>
      </c>
      <c r="E247" t="s">
        <v>50</v>
      </c>
      <c r="F247" t="s">
        <v>178</v>
      </c>
      <c r="G247" t="s">
        <v>118</v>
      </c>
      <c r="H247" t="s">
        <v>119</v>
      </c>
      <c r="I247" t="s">
        <v>58</v>
      </c>
      <c r="J247" t="s">
        <v>152</v>
      </c>
      <c r="K247" s="17">
        <v>1</v>
      </c>
      <c r="L247" s="5">
        <v>170</v>
      </c>
      <c r="M247" s="5">
        <v>95</v>
      </c>
      <c r="N247" s="6">
        <v>0.05</v>
      </c>
      <c r="O247" s="15">
        <f>Sales[[#This Row],[Quantity]]*Sales[[#This Row],[Unit Price]]*(1-Sales[[#This Row],[Discount Rate]])</f>
        <v>161.5</v>
      </c>
      <c r="P247" s="15">
        <f>Sales[[#This Row],[Unit Cost]]*Sales[[#This Row],[Quantity]]</f>
        <v>95</v>
      </c>
      <c r="Q247" s="15">
        <f>Sales[[#This Row],[Revenue]]-Sales[[#This Row],[Product cost]]</f>
        <v>66.5</v>
      </c>
      <c r="R247" s="21">
        <f>Sales[[#This Row],[Gross Profit]]/Sales[[#This Row],[Revenue]]</f>
        <v>0.41176470588235292</v>
      </c>
    </row>
    <row r="248" spans="1:18">
      <c r="A248" t="s">
        <v>420</v>
      </c>
      <c r="B248" s="4">
        <v>46192</v>
      </c>
      <c r="C248" t="s">
        <v>48</v>
      </c>
      <c r="D248" t="s">
        <v>49</v>
      </c>
      <c r="E248" t="s">
        <v>50</v>
      </c>
      <c r="F248" t="s">
        <v>178</v>
      </c>
      <c r="G248" t="s">
        <v>78</v>
      </c>
      <c r="H248" t="s">
        <v>79</v>
      </c>
      <c r="I248" t="s">
        <v>58</v>
      </c>
      <c r="J248" t="s">
        <v>152</v>
      </c>
      <c r="K248" s="17">
        <v>1</v>
      </c>
      <c r="L248" s="5">
        <v>170</v>
      </c>
      <c r="M248" s="5">
        <v>95</v>
      </c>
      <c r="N248" s="6">
        <v>0.05</v>
      </c>
      <c r="O248" s="15">
        <f>Sales[[#This Row],[Quantity]]*Sales[[#This Row],[Unit Price]]*(1-Sales[[#This Row],[Discount Rate]])</f>
        <v>161.5</v>
      </c>
      <c r="P248" s="15">
        <f>Sales[[#This Row],[Unit Cost]]*Sales[[#This Row],[Quantity]]</f>
        <v>95</v>
      </c>
      <c r="Q248" s="15">
        <f>Sales[[#This Row],[Revenue]]-Sales[[#This Row],[Product cost]]</f>
        <v>66.5</v>
      </c>
      <c r="R248" s="21">
        <f>Sales[[#This Row],[Gross Profit]]/Sales[[#This Row],[Revenue]]</f>
        <v>0.41176470588235292</v>
      </c>
    </row>
    <row r="249" spans="1:18">
      <c r="A249" t="s">
        <v>421</v>
      </c>
      <c r="B249" s="4">
        <v>46062</v>
      </c>
      <c r="C249" t="s">
        <v>48</v>
      </c>
      <c r="D249" t="s">
        <v>49</v>
      </c>
      <c r="E249" t="s">
        <v>50</v>
      </c>
      <c r="F249" t="s">
        <v>173</v>
      </c>
      <c r="G249" t="s">
        <v>59</v>
      </c>
      <c r="H249" t="s">
        <v>60</v>
      </c>
      <c r="I249" t="s">
        <v>58</v>
      </c>
      <c r="J249" t="s">
        <v>150</v>
      </c>
      <c r="K249" s="17">
        <v>1</v>
      </c>
      <c r="L249" s="5">
        <v>178.5</v>
      </c>
      <c r="M249" s="5">
        <v>95</v>
      </c>
      <c r="N249" s="6">
        <v>0.1</v>
      </c>
      <c r="O249" s="15">
        <f>Sales[[#This Row],[Quantity]]*Sales[[#This Row],[Unit Price]]*(1-Sales[[#This Row],[Discount Rate]])</f>
        <v>160.65</v>
      </c>
      <c r="P249" s="15">
        <f>Sales[[#This Row],[Unit Cost]]*Sales[[#This Row],[Quantity]]</f>
        <v>95</v>
      </c>
      <c r="Q249" s="15">
        <f>Sales[[#This Row],[Revenue]]-Sales[[#This Row],[Product cost]]</f>
        <v>65.650000000000006</v>
      </c>
      <c r="R249" s="21">
        <f>Sales[[#This Row],[Gross Profit]]/Sales[[#This Row],[Revenue]]</f>
        <v>0.40865234982882043</v>
      </c>
    </row>
    <row r="250" spans="1:18">
      <c r="A250" t="s">
        <v>422</v>
      </c>
      <c r="B250" s="4">
        <v>46088</v>
      </c>
      <c r="C250" t="s">
        <v>44</v>
      </c>
      <c r="D250" t="s">
        <v>45</v>
      </c>
      <c r="E250" t="s">
        <v>43</v>
      </c>
      <c r="F250" t="s">
        <v>171</v>
      </c>
      <c r="G250" t="s">
        <v>80</v>
      </c>
      <c r="H250" t="s">
        <v>81</v>
      </c>
      <c r="I250" t="s">
        <v>63</v>
      </c>
      <c r="J250" t="s">
        <v>151</v>
      </c>
      <c r="K250" s="17">
        <v>8</v>
      </c>
      <c r="L250" s="5">
        <v>20</v>
      </c>
      <c r="M250" s="5">
        <v>7</v>
      </c>
      <c r="N250" s="6">
        <v>0</v>
      </c>
      <c r="O250" s="15">
        <f>Sales[[#This Row],[Quantity]]*Sales[[#This Row],[Unit Price]]*(1-Sales[[#This Row],[Discount Rate]])</f>
        <v>160</v>
      </c>
      <c r="P250" s="15">
        <f>Sales[[#This Row],[Unit Cost]]*Sales[[#This Row],[Quantity]]</f>
        <v>56</v>
      </c>
      <c r="Q250" s="15">
        <f>Sales[[#This Row],[Revenue]]-Sales[[#This Row],[Product cost]]</f>
        <v>104</v>
      </c>
      <c r="R250" s="21">
        <f>Sales[[#This Row],[Gross Profit]]/Sales[[#This Row],[Revenue]]</f>
        <v>0.65</v>
      </c>
    </row>
    <row r="251" spans="1:18">
      <c r="A251" t="s">
        <v>423</v>
      </c>
      <c r="B251" s="4">
        <v>46031</v>
      </c>
      <c r="C251" t="s">
        <v>46</v>
      </c>
      <c r="D251" t="s">
        <v>47</v>
      </c>
      <c r="E251" t="s">
        <v>43</v>
      </c>
      <c r="F251" t="s">
        <v>171</v>
      </c>
      <c r="G251" t="s">
        <v>124</v>
      </c>
      <c r="H251" t="s">
        <v>125</v>
      </c>
      <c r="I251" t="s">
        <v>58</v>
      </c>
      <c r="J251" t="s">
        <v>153</v>
      </c>
      <c r="K251" s="17">
        <v>3</v>
      </c>
      <c r="L251" s="5">
        <v>55</v>
      </c>
      <c r="M251" s="5">
        <v>22</v>
      </c>
      <c r="N251" s="6">
        <v>0.05</v>
      </c>
      <c r="O251" s="15">
        <f>Sales[[#This Row],[Quantity]]*Sales[[#This Row],[Unit Price]]*(1-Sales[[#This Row],[Discount Rate]])</f>
        <v>156.75</v>
      </c>
      <c r="P251" s="15">
        <f>Sales[[#This Row],[Unit Cost]]*Sales[[#This Row],[Quantity]]</f>
        <v>66</v>
      </c>
      <c r="Q251" s="15">
        <f>Sales[[#This Row],[Revenue]]-Sales[[#This Row],[Product cost]]</f>
        <v>90.75</v>
      </c>
      <c r="R251" s="21">
        <f>Sales[[#This Row],[Gross Profit]]/Sales[[#This Row],[Revenue]]</f>
        <v>0.57894736842105265</v>
      </c>
    </row>
    <row r="252" spans="1:18">
      <c r="A252" t="s">
        <v>424</v>
      </c>
      <c r="B252" s="4">
        <v>46108</v>
      </c>
      <c r="C252" t="s">
        <v>46</v>
      </c>
      <c r="D252" t="s">
        <v>47</v>
      </c>
      <c r="E252" t="s">
        <v>43</v>
      </c>
      <c r="F252" t="s">
        <v>171</v>
      </c>
      <c r="G252" t="s">
        <v>66</v>
      </c>
      <c r="H252" t="s">
        <v>67</v>
      </c>
      <c r="I252" t="s">
        <v>58</v>
      </c>
      <c r="J252" t="s">
        <v>153</v>
      </c>
      <c r="K252" s="17">
        <v>3</v>
      </c>
      <c r="L252" s="5">
        <v>55</v>
      </c>
      <c r="M252" s="5">
        <v>22</v>
      </c>
      <c r="N252" s="6">
        <v>0.05</v>
      </c>
      <c r="O252" s="15">
        <f>Sales[[#This Row],[Quantity]]*Sales[[#This Row],[Unit Price]]*(1-Sales[[#This Row],[Discount Rate]])</f>
        <v>156.75</v>
      </c>
      <c r="P252" s="15">
        <f>Sales[[#This Row],[Unit Cost]]*Sales[[#This Row],[Quantity]]</f>
        <v>66</v>
      </c>
      <c r="Q252" s="15">
        <f>Sales[[#This Row],[Revenue]]-Sales[[#This Row],[Product cost]]</f>
        <v>90.75</v>
      </c>
      <c r="R252" s="21">
        <f>Sales[[#This Row],[Gross Profit]]/Sales[[#This Row],[Revenue]]</f>
        <v>0.57894736842105265</v>
      </c>
    </row>
    <row r="253" spans="1:18">
      <c r="A253" t="s">
        <v>425</v>
      </c>
      <c r="B253" s="4">
        <v>46085</v>
      </c>
      <c r="C253" t="s">
        <v>46</v>
      </c>
      <c r="D253" t="s">
        <v>47</v>
      </c>
      <c r="E253" t="s">
        <v>43</v>
      </c>
      <c r="F253" t="s">
        <v>171</v>
      </c>
      <c r="G253" t="s">
        <v>88</v>
      </c>
      <c r="H253" t="s">
        <v>89</v>
      </c>
      <c r="I253" t="s">
        <v>58</v>
      </c>
      <c r="J253" t="s">
        <v>153</v>
      </c>
      <c r="K253" s="17">
        <v>3</v>
      </c>
      <c r="L253" s="5">
        <v>52.25</v>
      </c>
      <c r="M253" s="5">
        <v>22</v>
      </c>
      <c r="N253" s="6">
        <v>0</v>
      </c>
      <c r="O253" s="15">
        <f>Sales[[#This Row],[Quantity]]*Sales[[#This Row],[Unit Price]]*(1-Sales[[#This Row],[Discount Rate]])</f>
        <v>156.75</v>
      </c>
      <c r="P253" s="15">
        <f>Sales[[#This Row],[Unit Cost]]*Sales[[#This Row],[Quantity]]</f>
        <v>66</v>
      </c>
      <c r="Q253" s="15">
        <f>Sales[[#This Row],[Revenue]]-Sales[[#This Row],[Product cost]]</f>
        <v>90.75</v>
      </c>
      <c r="R253" s="21">
        <f>Sales[[#This Row],[Gross Profit]]/Sales[[#This Row],[Revenue]]</f>
        <v>0.57894736842105265</v>
      </c>
    </row>
    <row r="254" spans="1:18">
      <c r="A254" t="s">
        <v>426</v>
      </c>
      <c r="B254" s="4">
        <v>46161</v>
      </c>
      <c r="C254" t="s">
        <v>48</v>
      </c>
      <c r="D254" t="s">
        <v>49</v>
      </c>
      <c r="E254" t="s">
        <v>50</v>
      </c>
      <c r="F254" t="s">
        <v>175</v>
      </c>
      <c r="G254" t="s">
        <v>68</v>
      </c>
      <c r="H254" t="s">
        <v>69</v>
      </c>
      <c r="I254" t="s">
        <v>63</v>
      </c>
      <c r="J254" t="s">
        <v>150</v>
      </c>
      <c r="K254" s="17">
        <v>1</v>
      </c>
      <c r="L254" s="5">
        <v>161.5</v>
      </c>
      <c r="M254" s="5">
        <v>95</v>
      </c>
      <c r="N254" s="6">
        <v>0.05</v>
      </c>
      <c r="O254" s="15">
        <f>Sales[[#This Row],[Quantity]]*Sales[[#This Row],[Unit Price]]*(1-Sales[[#This Row],[Discount Rate]])</f>
        <v>153.42499999999998</v>
      </c>
      <c r="P254" s="15">
        <f>Sales[[#This Row],[Unit Cost]]*Sales[[#This Row],[Quantity]]</f>
        <v>95</v>
      </c>
      <c r="Q254" s="15">
        <f>Sales[[#This Row],[Revenue]]-Sales[[#This Row],[Product cost]]</f>
        <v>58.424999999999983</v>
      </c>
      <c r="R254" s="21">
        <f>Sales[[#This Row],[Gross Profit]]/Sales[[#This Row],[Revenue]]</f>
        <v>0.38080495356037147</v>
      </c>
    </row>
    <row r="255" spans="1:18">
      <c r="A255" t="s">
        <v>427</v>
      </c>
      <c r="B255" s="4">
        <v>46139</v>
      </c>
      <c r="C255" t="s">
        <v>48</v>
      </c>
      <c r="D255" t="s">
        <v>49</v>
      </c>
      <c r="E255" t="s">
        <v>50</v>
      </c>
      <c r="F255" t="s">
        <v>175</v>
      </c>
      <c r="G255" t="s">
        <v>94</v>
      </c>
      <c r="H255" t="s">
        <v>95</v>
      </c>
      <c r="I255" t="s">
        <v>58</v>
      </c>
      <c r="J255" t="s">
        <v>152</v>
      </c>
      <c r="K255" s="17">
        <v>1</v>
      </c>
      <c r="L255" s="5">
        <v>170</v>
      </c>
      <c r="M255" s="5">
        <v>95</v>
      </c>
      <c r="N255" s="6">
        <v>0.1</v>
      </c>
      <c r="O255" s="15">
        <f>Sales[[#This Row],[Quantity]]*Sales[[#This Row],[Unit Price]]*(1-Sales[[#This Row],[Discount Rate]])</f>
        <v>153</v>
      </c>
      <c r="P255" s="15">
        <f>Sales[[#This Row],[Unit Cost]]*Sales[[#This Row],[Quantity]]</f>
        <v>95</v>
      </c>
      <c r="Q255" s="15">
        <f>Sales[[#This Row],[Revenue]]-Sales[[#This Row],[Product cost]]</f>
        <v>58</v>
      </c>
      <c r="R255" s="21">
        <f>Sales[[#This Row],[Gross Profit]]/Sales[[#This Row],[Revenue]]</f>
        <v>0.37908496732026142</v>
      </c>
    </row>
    <row r="256" spans="1:18">
      <c r="A256" t="s">
        <v>428</v>
      </c>
      <c r="B256" s="4">
        <v>46067</v>
      </c>
      <c r="C256" t="s">
        <v>41</v>
      </c>
      <c r="D256" t="s">
        <v>42</v>
      </c>
      <c r="E256" t="s">
        <v>43</v>
      </c>
      <c r="F256" t="s">
        <v>178</v>
      </c>
      <c r="G256" t="s">
        <v>116</v>
      </c>
      <c r="H256" t="s">
        <v>117</v>
      </c>
      <c r="I256" t="s">
        <v>63</v>
      </c>
      <c r="J256" t="s">
        <v>150</v>
      </c>
      <c r="K256" s="17">
        <v>5</v>
      </c>
      <c r="L256" s="5">
        <v>35</v>
      </c>
      <c r="M256" s="5">
        <v>14</v>
      </c>
      <c r="N256" s="6">
        <v>0.15</v>
      </c>
      <c r="O256" s="15">
        <f>Sales[[#This Row],[Quantity]]*Sales[[#This Row],[Unit Price]]*(1-Sales[[#This Row],[Discount Rate]])</f>
        <v>148.75</v>
      </c>
      <c r="P256" s="15">
        <f>Sales[[#This Row],[Unit Cost]]*Sales[[#This Row],[Quantity]]</f>
        <v>70</v>
      </c>
      <c r="Q256" s="15">
        <f>Sales[[#This Row],[Revenue]]-Sales[[#This Row],[Product cost]]</f>
        <v>78.75</v>
      </c>
      <c r="R256" s="21">
        <f>Sales[[#This Row],[Gross Profit]]/Sales[[#This Row],[Revenue]]</f>
        <v>0.52941176470588236</v>
      </c>
    </row>
    <row r="257" spans="1:18">
      <c r="A257" t="s">
        <v>429</v>
      </c>
      <c r="B257" s="4">
        <v>46060</v>
      </c>
      <c r="C257" t="s">
        <v>46</v>
      </c>
      <c r="D257" t="s">
        <v>47</v>
      </c>
      <c r="E257" t="s">
        <v>43</v>
      </c>
      <c r="F257" t="s">
        <v>175</v>
      </c>
      <c r="G257" t="s">
        <v>94</v>
      </c>
      <c r="H257" t="s">
        <v>95</v>
      </c>
      <c r="I257" t="s">
        <v>58</v>
      </c>
      <c r="J257" t="s">
        <v>152</v>
      </c>
      <c r="K257" s="17">
        <v>3</v>
      </c>
      <c r="L257" s="5">
        <v>55</v>
      </c>
      <c r="M257" s="5">
        <v>22</v>
      </c>
      <c r="N257" s="6">
        <v>0.1</v>
      </c>
      <c r="O257" s="15">
        <f>Sales[[#This Row],[Quantity]]*Sales[[#This Row],[Unit Price]]*(1-Sales[[#This Row],[Discount Rate]])</f>
        <v>148.5</v>
      </c>
      <c r="P257" s="15">
        <f>Sales[[#This Row],[Unit Cost]]*Sales[[#This Row],[Quantity]]</f>
        <v>66</v>
      </c>
      <c r="Q257" s="15">
        <f>Sales[[#This Row],[Revenue]]-Sales[[#This Row],[Product cost]]</f>
        <v>82.5</v>
      </c>
      <c r="R257" s="21">
        <f>Sales[[#This Row],[Gross Profit]]/Sales[[#This Row],[Revenue]]</f>
        <v>0.55555555555555558</v>
      </c>
    </row>
    <row r="258" spans="1:18">
      <c r="A258" t="s">
        <v>430</v>
      </c>
      <c r="B258" s="4">
        <v>46039</v>
      </c>
      <c r="C258" t="s">
        <v>46</v>
      </c>
      <c r="D258" t="s">
        <v>47</v>
      </c>
      <c r="E258" t="s">
        <v>43</v>
      </c>
      <c r="F258" t="s">
        <v>178</v>
      </c>
      <c r="G258" t="s">
        <v>136</v>
      </c>
      <c r="H258" t="s">
        <v>137</v>
      </c>
      <c r="I258" t="s">
        <v>58</v>
      </c>
      <c r="J258" t="s">
        <v>151</v>
      </c>
      <c r="K258" s="17">
        <v>3</v>
      </c>
      <c r="L258" s="5">
        <v>55</v>
      </c>
      <c r="M258" s="5">
        <v>22</v>
      </c>
      <c r="N258" s="6">
        <v>0.1</v>
      </c>
      <c r="O258" s="15">
        <f>Sales[[#This Row],[Quantity]]*Sales[[#This Row],[Unit Price]]*(1-Sales[[#This Row],[Discount Rate]])</f>
        <v>148.5</v>
      </c>
      <c r="P258" s="15">
        <f>Sales[[#This Row],[Unit Cost]]*Sales[[#This Row],[Quantity]]</f>
        <v>66</v>
      </c>
      <c r="Q258" s="15">
        <f>Sales[[#This Row],[Revenue]]-Sales[[#This Row],[Product cost]]</f>
        <v>82.5</v>
      </c>
      <c r="R258" s="21">
        <f>Sales[[#This Row],[Gross Profit]]/Sales[[#This Row],[Revenue]]</f>
        <v>0.55555555555555558</v>
      </c>
    </row>
    <row r="259" spans="1:18">
      <c r="A259" t="s">
        <v>431</v>
      </c>
      <c r="B259" s="4">
        <v>46066</v>
      </c>
      <c r="C259" t="s">
        <v>44</v>
      </c>
      <c r="D259" t="s">
        <v>45</v>
      </c>
      <c r="E259" t="s">
        <v>43</v>
      </c>
      <c r="F259" t="s">
        <v>171</v>
      </c>
      <c r="G259" t="s">
        <v>74</v>
      </c>
      <c r="H259" t="s">
        <v>75</v>
      </c>
      <c r="I259" t="s">
        <v>63</v>
      </c>
      <c r="J259" t="s">
        <v>151</v>
      </c>
      <c r="K259" s="17">
        <v>7</v>
      </c>
      <c r="L259" s="5">
        <v>21</v>
      </c>
      <c r="M259" s="5">
        <v>7</v>
      </c>
      <c r="N259" s="6">
        <v>0</v>
      </c>
      <c r="O259" s="15">
        <f>Sales[[#This Row],[Quantity]]*Sales[[#This Row],[Unit Price]]*(1-Sales[[#This Row],[Discount Rate]])</f>
        <v>147</v>
      </c>
      <c r="P259" s="15">
        <f>Sales[[#This Row],[Unit Cost]]*Sales[[#This Row],[Quantity]]</f>
        <v>49</v>
      </c>
      <c r="Q259" s="15">
        <f>Sales[[#This Row],[Revenue]]-Sales[[#This Row],[Product cost]]</f>
        <v>98</v>
      </c>
      <c r="R259" s="21">
        <f>Sales[[#This Row],[Gross Profit]]/Sales[[#This Row],[Revenue]]</f>
        <v>0.66666666666666663</v>
      </c>
    </row>
    <row r="260" spans="1:18">
      <c r="A260" t="s">
        <v>432</v>
      </c>
      <c r="B260" s="4">
        <v>46130</v>
      </c>
      <c r="C260" t="s">
        <v>41</v>
      </c>
      <c r="D260" t="s">
        <v>42</v>
      </c>
      <c r="E260" t="s">
        <v>43</v>
      </c>
      <c r="F260" t="s">
        <v>171</v>
      </c>
      <c r="G260" t="s">
        <v>82</v>
      </c>
      <c r="H260" t="s">
        <v>83</v>
      </c>
      <c r="I260" t="s">
        <v>58</v>
      </c>
      <c r="J260" t="s">
        <v>153</v>
      </c>
      <c r="K260" s="17">
        <v>4</v>
      </c>
      <c r="L260" s="5">
        <v>36.75</v>
      </c>
      <c r="M260" s="5">
        <v>14</v>
      </c>
      <c r="N260" s="6">
        <v>0</v>
      </c>
      <c r="O260" s="15">
        <f>Sales[[#This Row],[Quantity]]*Sales[[#This Row],[Unit Price]]*(1-Sales[[#This Row],[Discount Rate]])</f>
        <v>147</v>
      </c>
      <c r="P260" s="15">
        <f>Sales[[#This Row],[Unit Cost]]*Sales[[#This Row],[Quantity]]</f>
        <v>56</v>
      </c>
      <c r="Q260" s="15">
        <f>Sales[[#This Row],[Revenue]]-Sales[[#This Row],[Product cost]]</f>
        <v>91</v>
      </c>
      <c r="R260" s="21">
        <f>Sales[[#This Row],[Gross Profit]]/Sales[[#This Row],[Revenue]]</f>
        <v>0.61904761904761907</v>
      </c>
    </row>
    <row r="261" spans="1:18">
      <c r="A261" t="s">
        <v>433</v>
      </c>
      <c r="B261" s="4">
        <v>46178</v>
      </c>
      <c r="C261" t="s">
        <v>41</v>
      </c>
      <c r="D261" t="s">
        <v>42</v>
      </c>
      <c r="E261" t="s">
        <v>43</v>
      </c>
      <c r="F261" t="s">
        <v>171</v>
      </c>
      <c r="G261" t="s">
        <v>56</v>
      </c>
      <c r="H261" t="s">
        <v>57</v>
      </c>
      <c r="I261" t="s">
        <v>58</v>
      </c>
      <c r="J261" t="s">
        <v>150</v>
      </c>
      <c r="K261" s="17">
        <v>4</v>
      </c>
      <c r="L261" s="5">
        <v>36.75</v>
      </c>
      <c r="M261" s="5">
        <v>14</v>
      </c>
      <c r="N261" s="6">
        <v>0</v>
      </c>
      <c r="O261" s="15">
        <f>Sales[[#This Row],[Quantity]]*Sales[[#This Row],[Unit Price]]*(1-Sales[[#This Row],[Discount Rate]])</f>
        <v>147</v>
      </c>
      <c r="P261" s="15">
        <f>Sales[[#This Row],[Unit Cost]]*Sales[[#This Row],[Quantity]]</f>
        <v>56</v>
      </c>
      <c r="Q261" s="15">
        <f>Sales[[#This Row],[Revenue]]-Sales[[#This Row],[Product cost]]</f>
        <v>91</v>
      </c>
      <c r="R261" s="21">
        <f>Sales[[#This Row],[Gross Profit]]/Sales[[#This Row],[Revenue]]</f>
        <v>0.61904761904761907</v>
      </c>
    </row>
    <row r="262" spans="1:18">
      <c r="A262" t="s">
        <v>434</v>
      </c>
      <c r="B262" s="4">
        <v>46195</v>
      </c>
      <c r="C262" t="s">
        <v>48</v>
      </c>
      <c r="D262" t="s">
        <v>49</v>
      </c>
      <c r="E262" t="s">
        <v>50</v>
      </c>
      <c r="F262" t="s">
        <v>173</v>
      </c>
      <c r="G262" t="s">
        <v>88</v>
      </c>
      <c r="H262" t="s">
        <v>89</v>
      </c>
      <c r="I262" t="s">
        <v>58</v>
      </c>
      <c r="J262" t="s">
        <v>152</v>
      </c>
      <c r="K262" s="17">
        <v>1</v>
      </c>
      <c r="L262" s="5">
        <v>170</v>
      </c>
      <c r="M262" s="5">
        <v>95</v>
      </c>
      <c r="N262" s="6">
        <v>0.15</v>
      </c>
      <c r="O262" s="15">
        <f>Sales[[#This Row],[Quantity]]*Sales[[#This Row],[Unit Price]]*(1-Sales[[#This Row],[Discount Rate]])</f>
        <v>144.5</v>
      </c>
      <c r="P262" s="15">
        <f>Sales[[#This Row],[Unit Cost]]*Sales[[#This Row],[Quantity]]</f>
        <v>95</v>
      </c>
      <c r="Q262" s="15">
        <f>Sales[[#This Row],[Revenue]]-Sales[[#This Row],[Product cost]]</f>
        <v>49.5</v>
      </c>
      <c r="R262" s="21">
        <f>Sales[[#This Row],[Gross Profit]]/Sales[[#This Row],[Revenue]]</f>
        <v>0.34256055363321797</v>
      </c>
    </row>
    <row r="263" spans="1:18">
      <c r="A263" t="s">
        <v>435</v>
      </c>
      <c r="B263" s="4">
        <v>46029</v>
      </c>
      <c r="C263" t="s">
        <v>44</v>
      </c>
      <c r="D263" t="s">
        <v>45</v>
      </c>
      <c r="E263" t="s">
        <v>43</v>
      </c>
      <c r="F263" t="s">
        <v>171</v>
      </c>
      <c r="G263" t="s">
        <v>134</v>
      </c>
      <c r="H263" t="s">
        <v>135</v>
      </c>
      <c r="I263" t="s">
        <v>63</v>
      </c>
      <c r="J263" t="s">
        <v>153</v>
      </c>
      <c r="K263" s="17">
        <v>8</v>
      </c>
      <c r="L263" s="5">
        <v>19</v>
      </c>
      <c r="M263" s="5">
        <v>7</v>
      </c>
      <c r="N263" s="6">
        <v>0.05</v>
      </c>
      <c r="O263" s="15">
        <f>Sales[[#This Row],[Quantity]]*Sales[[#This Row],[Unit Price]]*(1-Sales[[#This Row],[Discount Rate]])</f>
        <v>144.4</v>
      </c>
      <c r="P263" s="15">
        <f>Sales[[#This Row],[Unit Cost]]*Sales[[#This Row],[Quantity]]</f>
        <v>56</v>
      </c>
      <c r="Q263" s="15">
        <f>Sales[[#This Row],[Revenue]]-Sales[[#This Row],[Product cost]]</f>
        <v>88.4</v>
      </c>
      <c r="R263" s="21">
        <f>Sales[[#This Row],[Gross Profit]]/Sales[[#This Row],[Revenue]]</f>
        <v>0.61218836565096957</v>
      </c>
    </row>
    <row r="264" spans="1:18">
      <c r="A264" t="s">
        <v>436</v>
      </c>
      <c r="B264" s="4">
        <v>46046</v>
      </c>
      <c r="C264" t="s">
        <v>46</v>
      </c>
      <c r="D264" t="s">
        <v>47</v>
      </c>
      <c r="E264" t="s">
        <v>43</v>
      </c>
      <c r="F264" t="s">
        <v>175</v>
      </c>
      <c r="G264" t="s">
        <v>66</v>
      </c>
      <c r="H264" t="s">
        <v>67</v>
      </c>
      <c r="I264" t="s">
        <v>58</v>
      </c>
      <c r="J264" t="s">
        <v>150</v>
      </c>
      <c r="K264" s="17">
        <v>3</v>
      </c>
      <c r="L264" s="5">
        <v>55</v>
      </c>
      <c r="M264" s="5">
        <v>22</v>
      </c>
      <c r="N264" s="6">
        <v>0.15</v>
      </c>
      <c r="O264" s="15">
        <f>Sales[[#This Row],[Quantity]]*Sales[[#This Row],[Unit Price]]*(1-Sales[[#This Row],[Discount Rate]])</f>
        <v>140.25</v>
      </c>
      <c r="P264" s="15">
        <f>Sales[[#This Row],[Unit Cost]]*Sales[[#This Row],[Quantity]]</f>
        <v>66</v>
      </c>
      <c r="Q264" s="15">
        <f>Sales[[#This Row],[Revenue]]-Sales[[#This Row],[Product cost]]</f>
        <v>74.25</v>
      </c>
      <c r="R264" s="21">
        <f>Sales[[#This Row],[Gross Profit]]/Sales[[#This Row],[Revenue]]</f>
        <v>0.52941176470588236</v>
      </c>
    </row>
    <row r="265" spans="1:18">
      <c r="A265" t="s">
        <v>437</v>
      </c>
      <c r="B265" s="4">
        <v>46026</v>
      </c>
      <c r="C265" t="s">
        <v>41</v>
      </c>
      <c r="D265" t="s">
        <v>42</v>
      </c>
      <c r="E265" t="s">
        <v>43</v>
      </c>
      <c r="F265" t="s">
        <v>171</v>
      </c>
      <c r="G265" t="s">
        <v>82</v>
      </c>
      <c r="H265" t="s">
        <v>83</v>
      </c>
      <c r="I265" t="s">
        <v>58</v>
      </c>
      <c r="J265" t="s">
        <v>152</v>
      </c>
      <c r="K265" s="17">
        <v>4</v>
      </c>
      <c r="L265" s="5">
        <v>35</v>
      </c>
      <c r="M265" s="5">
        <v>14</v>
      </c>
      <c r="N265" s="6">
        <v>0</v>
      </c>
      <c r="O265" s="15">
        <f>Sales[[#This Row],[Quantity]]*Sales[[#This Row],[Unit Price]]*(1-Sales[[#This Row],[Discount Rate]])</f>
        <v>140</v>
      </c>
      <c r="P265" s="15">
        <f>Sales[[#This Row],[Unit Cost]]*Sales[[#This Row],[Quantity]]</f>
        <v>56</v>
      </c>
      <c r="Q265" s="15">
        <f>Sales[[#This Row],[Revenue]]-Sales[[#This Row],[Product cost]]</f>
        <v>84</v>
      </c>
      <c r="R265" s="21">
        <f>Sales[[#This Row],[Gross Profit]]/Sales[[#This Row],[Revenue]]</f>
        <v>0.6</v>
      </c>
    </row>
    <row r="266" spans="1:18">
      <c r="A266" t="s">
        <v>438</v>
      </c>
      <c r="B266" s="4">
        <v>46044</v>
      </c>
      <c r="C266" t="s">
        <v>44</v>
      </c>
      <c r="D266" t="s">
        <v>45</v>
      </c>
      <c r="E266" t="s">
        <v>43</v>
      </c>
      <c r="F266" t="s">
        <v>171</v>
      </c>
      <c r="G266" t="s">
        <v>92</v>
      </c>
      <c r="H266" t="s">
        <v>93</v>
      </c>
      <c r="I266" t="s">
        <v>63</v>
      </c>
      <c r="J266" t="s">
        <v>153</v>
      </c>
      <c r="K266" s="17">
        <v>7</v>
      </c>
      <c r="L266" s="5">
        <v>20</v>
      </c>
      <c r="M266" s="5">
        <v>7</v>
      </c>
      <c r="N266" s="6">
        <v>0.05</v>
      </c>
      <c r="O266" s="15">
        <f>Sales[[#This Row],[Quantity]]*Sales[[#This Row],[Unit Price]]*(1-Sales[[#This Row],[Discount Rate]])</f>
        <v>133</v>
      </c>
      <c r="P266" s="15">
        <f>Sales[[#This Row],[Unit Cost]]*Sales[[#This Row],[Quantity]]</f>
        <v>49</v>
      </c>
      <c r="Q266" s="15">
        <f>Sales[[#This Row],[Revenue]]-Sales[[#This Row],[Product cost]]</f>
        <v>84</v>
      </c>
      <c r="R266" s="21">
        <f>Sales[[#This Row],[Gross Profit]]/Sales[[#This Row],[Revenue]]</f>
        <v>0.63157894736842102</v>
      </c>
    </row>
    <row r="267" spans="1:18">
      <c r="A267" t="s">
        <v>439</v>
      </c>
      <c r="B267" s="4">
        <v>46137</v>
      </c>
      <c r="C267" t="s">
        <v>51</v>
      </c>
      <c r="D267" t="s">
        <v>52</v>
      </c>
      <c r="E267" t="s">
        <v>50</v>
      </c>
      <c r="F267" t="s">
        <v>171</v>
      </c>
      <c r="G267" t="s">
        <v>90</v>
      </c>
      <c r="H267" t="s">
        <v>91</v>
      </c>
      <c r="I267" t="s">
        <v>58</v>
      </c>
      <c r="J267" t="s">
        <v>152</v>
      </c>
      <c r="K267" s="17">
        <v>1</v>
      </c>
      <c r="L267" s="5">
        <v>130</v>
      </c>
      <c r="M267" s="5">
        <v>65</v>
      </c>
      <c r="N267" s="6">
        <v>0</v>
      </c>
      <c r="O267" s="15">
        <f>Sales[[#This Row],[Quantity]]*Sales[[#This Row],[Unit Price]]*(1-Sales[[#This Row],[Discount Rate]])</f>
        <v>130</v>
      </c>
      <c r="P267" s="15">
        <f>Sales[[#This Row],[Unit Cost]]*Sales[[#This Row],[Quantity]]</f>
        <v>65</v>
      </c>
      <c r="Q267" s="15">
        <f>Sales[[#This Row],[Revenue]]-Sales[[#This Row],[Product cost]]</f>
        <v>65</v>
      </c>
      <c r="R267" s="21">
        <f>Sales[[#This Row],[Gross Profit]]/Sales[[#This Row],[Revenue]]</f>
        <v>0.5</v>
      </c>
    </row>
    <row r="268" spans="1:18">
      <c r="A268" t="s">
        <v>440</v>
      </c>
      <c r="B268" s="4">
        <v>46154</v>
      </c>
      <c r="C268" t="s">
        <v>51</v>
      </c>
      <c r="D268" t="s">
        <v>52</v>
      </c>
      <c r="E268" t="s">
        <v>50</v>
      </c>
      <c r="F268" t="s">
        <v>171</v>
      </c>
      <c r="G268" t="s">
        <v>56</v>
      </c>
      <c r="H268" t="s">
        <v>57</v>
      </c>
      <c r="I268" t="s">
        <v>58</v>
      </c>
      <c r="J268" t="s">
        <v>152</v>
      </c>
      <c r="K268" s="17">
        <v>1</v>
      </c>
      <c r="L268" s="5">
        <v>130</v>
      </c>
      <c r="M268" s="5">
        <v>65</v>
      </c>
      <c r="N268" s="6">
        <v>0</v>
      </c>
      <c r="O268" s="15">
        <f>Sales[[#This Row],[Quantity]]*Sales[[#This Row],[Unit Price]]*(1-Sales[[#This Row],[Discount Rate]])</f>
        <v>130</v>
      </c>
      <c r="P268" s="15">
        <f>Sales[[#This Row],[Unit Cost]]*Sales[[#This Row],[Quantity]]</f>
        <v>65</v>
      </c>
      <c r="Q268" s="15">
        <f>Sales[[#This Row],[Revenue]]-Sales[[#This Row],[Product cost]]</f>
        <v>65</v>
      </c>
      <c r="R268" s="21">
        <f>Sales[[#This Row],[Gross Profit]]/Sales[[#This Row],[Revenue]]</f>
        <v>0.5</v>
      </c>
    </row>
    <row r="269" spans="1:18">
      <c r="A269" t="s">
        <v>441</v>
      </c>
      <c r="B269" s="4">
        <v>46200</v>
      </c>
      <c r="C269" t="s">
        <v>51</v>
      </c>
      <c r="D269" t="s">
        <v>52</v>
      </c>
      <c r="E269" t="s">
        <v>50</v>
      </c>
      <c r="F269" t="s">
        <v>175</v>
      </c>
      <c r="G269" t="s">
        <v>56</v>
      </c>
      <c r="H269" t="s">
        <v>57</v>
      </c>
      <c r="I269" t="s">
        <v>58</v>
      </c>
      <c r="J269" t="s">
        <v>151</v>
      </c>
      <c r="K269" s="17">
        <v>1</v>
      </c>
      <c r="L269" s="5">
        <v>130</v>
      </c>
      <c r="M269" s="5">
        <v>65</v>
      </c>
      <c r="N269" s="6">
        <v>0</v>
      </c>
      <c r="O269" s="15">
        <f>Sales[[#This Row],[Quantity]]*Sales[[#This Row],[Unit Price]]*(1-Sales[[#This Row],[Discount Rate]])</f>
        <v>130</v>
      </c>
      <c r="P269" s="15">
        <f>Sales[[#This Row],[Unit Cost]]*Sales[[#This Row],[Quantity]]</f>
        <v>65</v>
      </c>
      <c r="Q269" s="15">
        <f>Sales[[#This Row],[Revenue]]-Sales[[#This Row],[Product cost]]</f>
        <v>65</v>
      </c>
      <c r="R269" s="21">
        <f>Sales[[#This Row],[Gross Profit]]/Sales[[#This Row],[Revenue]]</f>
        <v>0.5</v>
      </c>
    </row>
    <row r="270" spans="1:18">
      <c r="A270" t="s">
        <v>442</v>
      </c>
      <c r="B270" s="4">
        <v>46096</v>
      </c>
      <c r="C270" t="s">
        <v>51</v>
      </c>
      <c r="D270" t="s">
        <v>52</v>
      </c>
      <c r="E270" t="s">
        <v>50</v>
      </c>
      <c r="F270" t="s">
        <v>178</v>
      </c>
      <c r="G270" t="s">
        <v>102</v>
      </c>
      <c r="H270" t="s">
        <v>103</v>
      </c>
      <c r="I270" t="s">
        <v>58</v>
      </c>
      <c r="J270" t="s">
        <v>151</v>
      </c>
      <c r="K270" s="17">
        <v>1</v>
      </c>
      <c r="L270" s="5">
        <v>130</v>
      </c>
      <c r="M270" s="5">
        <v>65</v>
      </c>
      <c r="N270" s="6">
        <v>0</v>
      </c>
      <c r="O270" s="15">
        <f>Sales[[#This Row],[Quantity]]*Sales[[#This Row],[Unit Price]]*(1-Sales[[#This Row],[Discount Rate]])</f>
        <v>130</v>
      </c>
      <c r="P270" s="15">
        <f>Sales[[#This Row],[Unit Cost]]*Sales[[#This Row],[Quantity]]</f>
        <v>65</v>
      </c>
      <c r="Q270" s="15">
        <f>Sales[[#This Row],[Revenue]]-Sales[[#This Row],[Product cost]]</f>
        <v>65</v>
      </c>
      <c r="R270" s="21">
        <f>Sales[[#This Row],[Gross Profit]]/Sales[[#This Row],[Revenue]]</f>
        <v>0.5</v>
      </c>
    </row>
    <row r="271" spans="1:18">
      <c r="A271" t="s">
        <v>443</v>
      </c>
      <c r="B271" s="4">
        <v>46077</v>
      </c>
      <c r="C271" t="s">
        <v>41</v>
      </c>
      <c r="D271" t="s">
        <v>42</v>
      </c>
      <c r="E271" t="s">
        <v>43</v>
      </c>
      <c r="F271" t="s">
        <v>175</v>
      </c>
      <c r="G271" t="s">
        <v>86</v>
      </c>
      <c r="H271" t="s">
        <v>87</v>
      </c>
      <c r="I271" t="s">
        <v>63</v>
      </c>
      <c r="J271" t="s">
        <v>150</v>
      </c>
      <c r="K271" s="17">
        <v>4</v>
      </c>
      <c r="L271" s="5">
        <v>35</v>
      </c>
      <c r="M271" s="5">
        <v>14</v>
      </c>
      <c r="N271" s="6">
        <v>0.1</v>
      </c>
      <c r="O271" s="15">
        <f>Sales[[#This Row],[Quantity]]*Sales[[#This Row],[Unit Price]]*(1-Sales[[#This Row],[Discount Rate]])</f>
        <v>126</v>
      </c>
      <c r="P271" s="15">
        <f>Sales[[#This Row],[Unit Cost]]*Sales[[#This Row],[Quantity]]</f>
        <v>56</v>
      </c>
      <c r="Q271" s="15">
        <f>Sales[[#This Row],[Revenue]]-Sales[[#This Row],[Product cost]]</f>
        <v>70</v>
      </c>
      <c r="R271" s="21">
        <f>Sales[[#This Row],[Gross Profit]]/Sales[[#This Row],[Revenue]]</f>
        <v>0.55555555555555558</v>
      </c>
    </row>
    <row r="272" spans="1:18">
      <c r="A272" t="s">
        <v>444</v>
      </c>
      <c r="B272" s="4">
        <v>46067</v>
      </c>
      <c r="C272" t="s">
        <v>41</v>
      </c>
      <c r="D272" t="s">
        <v>42</v>
      </c>
      <c r="E272" t="s">
        <v>43</v>
      </c>
      <c r="F272" t="s">
        <v>178</v>
      </c>
      <c r="G272" t="s">
        <v>84</v>
      </c>
      <c r="H272" t="s">
        <v>85</v>
      </c>
      <c r="I272" t="s">
        <v>58</v>
      </c>
      <c r="J272" t="s">
        <v>152</v>
      </c>
      <c r="K272" s="17">
        <v>4</v>
      </c>
      <c r="L272" s="5">
        <v>36.75</v>
      </c>
      <c r="M272" s="5">
        <v>14</v>
      </c>
      <c r="N272" s="6">
        <v>0.15</v>
      </c>
      <c r="O272" s="15">
        <f>Sales[[#This Row],[Quantity]]*Sales[[#This Row],[Unit Price]]*(1-Sales[[#This Row],[Discount Rate]])</f>
        <v>124.95</v>
      </c>
      <c r="P272" s="15">
        <f>Sales[[#This Row],[Unit Cost]]*Sales[[#This Row],[Quantity]]</f>
        <v>56</v>
      </c>
      <c r="Q272" s="15">
        <f>Sales[[#This Row],[Revenue]]-Sales[[#This Row],[Product cost]]</f>
        <v>68.95</v>
      </c>
      <c r="R272" s="21">
        <f>Sales[[#This Row],[Gross Profit]]/Sales[[#This Row],[Revenue]]</f>
        <v>0.55182072829131656</v>
      </c>
    </row>
    <row r="273" spans="1:18">
      <c r="A273" t="s">
        <v>445</v>
      </c>
      <c r="B273" s="4">
        <v>46114</v>
      </c>
      <c r="C273" t="s">
        <v>51</v>
      </c>
      <c r="D273" t="s">
        <v>52</v>
      </c>
      <c r="E273" t="s">
        <v>50</v>
      </c>
      <c r="F273" t="s">
        <v>173</v>
      </c>
      <c r="G273" t="s">
        <v>98</v>
      </c>
      <c r="H273" t="s">
        <v>99</v>
      </c>
      <c r="I273" t="s">
        <v>63</v>
      </c>
      <c r="J273" t="s">
        <v>153</v>
      </c>
      <c r="K273" s="17">
        <v>1</v>
      </c>
      <c r="L273" s="5">
        <v>123.5</v>
      </c>
      <c r="M273" s="5">
        <v>65</v>
      </c>
      <c r="N273" s="6">
        <v>0</v>
      </c>
      <c r="O273" s="15">
        <f>Sales[[#This Row],[Quantity]]*Sales[[#This Row],[Unit Price]]*(1-Sales[[#This Row],[Discount Rate]])</f>
        <v>123.5</v>
      </c>
      <c r="P273" s="15">
        <f>Sales[[#This Row],[Unit Cost]]*Sales[[#This Row],[Quantity]]</f>
        <v>65</v>
      </c>
      <c r="Q273" s="15">
        <f>Sales[[#This Row],[Revenue]]-Sales[[#This Row],[Product cost]]</f>
        <v>58.5</v>
      </c>
      <c r="R273" s="21">
        <f>Sales[[#This Row],[Gross Profit]]/Sales[[#This Row],[Revenue]]</f>
        <v>0.47368421052631576</v>
      </c>
    </row>
    <row r="274" spans="1:18">
      <c r="A274" t="s">
        <v>446</v>
      </c>
      <c r="B274" s="4">
        <v>46119</v>
      </c>
      <c r="C274" t="s">
        <v>51</v>
      </c>
      <c r="D274" t="s">
        <v>52</v>
      </c>
      <c r="E274" t="s">
        <v>50</v>
      </c>
      <c r="F274" t="s">
        <v>173</v>
      </c>
      <c r="G274" t="s">
        <v>106</v>
      </c>
      <c r="H274" t="s">
        <v>107</v>
      </c>
      <c r="I274" t="s">
        <v>58</v>
      </c>
      <c r="J274" t="s">
        <v>152</v>
      </c>
      <c r="K274" s="17">
        <v>1</v>
      </c>
      <c r="L274" s="5">
        <v>123.5</v>
      </c>
      <c r="M274" s="5">
        <v>65</v>
      </c>
      <c r="N274" s="6">
        <v>0</v>
      </c>
      <c r="O274" s="15">
        <f>Sales[[#This Row],[Quantity]]*Sales[[#This Row],[Unit Price]]*(1-Sales[[#This Row],[Discount Rate]])</f>
        <v>123.5</v>
      </c>
      <c r="P274" s="15">
        <f>Sales[[#This Row],[Unit Cost]]*Sales[[#This Row],[Quantity]]</f>
        <v>65</v>
      </c>
      <c r="Q274" s="15">
        <f>Sales[[#This Row],[Revenue]]-Sales[[#This Row],[Product cost]]</f>
        <v>58.5</v>
      </c>
      <c r="R274" s="21">
        <f>Sales[[#This Row],[Gross Profit]]/Sales[[#This Row],[Revenue]]</f>
        <v>0.47368421052631576</v>
      </c>
    </row>
    <row r="275" spans="1:18">
      <c r="A275" t="s">
        <v>447</v>
      </c>
      <c r="B275" s="4">
        <v>46099</v>
      </c>
      <c r="C275" t="s">
        <v>51</v>
      </c>
      <c r="D275" t="s">
        <v>52</v>
      </c>
      <c r="E275" t="s">
        <v>50</v>
      </c>
      <c r="F275" t="s">
        <v>178</v>
      </c>
      <c r="G275" t="s">
        <v>112</v>
      </c>
      <c r="H275" t="s">
        <v>113</v>
      </c>
      <c r="I275" t="s">
        <v>58</v>
      </c>
      <c r="J275" t="s">
        <v>150</v>
      </c>
      <c r="K275" s="17">
        <v>1</v>
      </c>
      <c r="L275" s="5">
        <v>136.5</v>
      </c>
      <c r="M275" s="5">
        <v>65</v>
      </c>
      <c r="N275" s="6">
        <v>0.1</v>
      </c>
      <c r="O275" s="15">
        <f>Sales[[#This Row],[Quantity]]*Sales[[#This Row],[Unit Price]]*(1-Sales[[#This Row],[Discount Rate]])</f>
        <v>122.85000000000001</v>
      </c>
      <c r="P275" s="15">
        <f>Sales[[#This Row],[Unit Cost]]*Sales[[#This Row],[Quantity]]</f>
        <v>65</v>
      </c>
      <c r="Q275" s="15">
        <f>Sales[[#This Row],[Revenue]]-Sales[[#This Row],[Product cost]]</f>
        <v>57.850000000000009</v>
      </c>
      <c r="R275" s="21">
        <f>Sales[[#This Row],[Gross Profit]]/Sales[[#This Row],[Revenue]]</f>
        <v>0.47089947089947093</v>
      </c>
    </row>
    <row r="276" spans="1:18">
      <c r="A276" t="s">
        <v>448</v>
      </c>
      <c r="B276" s="4">
        <v>46118</v>
      </c>
      <c r="C276" t="s">
        <v>41</v>
      </c>
      <c r="D276" t="s">
        <v>42</v>
      </c>
      <c r="E276" t="s">
        <v>43</v>
      </c>
      <c r="F276" t="s">
        <v>175</v>
      </c>
      <c r="G276" t="s">
        <v>96</v>
      </c>
      <c r="H276" t="s">
        <v>97</v>
      </c>
      <c r="I276" t="s">
        <v>58</v>
      </c>
      <c r="J276" t="s">
        <v>151</v>
      </c>
      <c r="K276" s="17">
        <v>4</v>
      </c>
      <c r="L276" s="5">
        <v>35</v>
      </c>
      <c r="M276" s="5">
        <v>14</v>
      </c>
      <c r="N276" s="6">
        <v>0.15</v>
      </c>
      <c r="O276" s="15">
        <f>Sales[[#This Row],[Quantity]]*Sales[[#This Row],[Unit Price]]*(1-Sales[[#This Row],[Discount Rate]])</f>
        <v>119</v>
      </c>
      <c r="P276" s="15">
        <f>Sales[[#This Row],[Unit Cost]]*Sales[[#This Row],[Quantity]]</f>
        <v>56</v>
      </c>
      <c r="Q276" s="15">
        <f>Sales[[#This Row],[Revenue]]-Sales[[#This Row],[Product cost]]</f>
        <v>63</v>
      </c>
      <c r="R276" s="21">
        <f>Sales[[#This Row],[Gross Profit]]/Sales[[#This Row],[Revenue]]</f>
        <v>0.52941176470588236</v>
      </c>
    </row>
    <row r="277" spans="1:18">
      <c r="A277" t="s">
        <v>449</v>
      </c>
      <c r="B277" s="4">
        <v>46047</v>
      </c>
      <c r="C277" t="s">
        <v>41</v>
      </c>
      <c r="D277" t="s">
        <v>42</v>
      </c>
      <c r="E277" t="s">
        <v>43</v>
      </c>
      <c r="F277" t="s">
        <v>175</v>
      </c>
      <c r="G277" t="s">
        <v>92</v>
      </c>
      <c r="H277" t="s">
        <v>93</v>
      </c>
      <c r="I277" t="s">
        <v>63</v>
      </c>
      <c r="J277" t="s">
        <v>153</v>
      </c>
      <c r="K277" s="17">
        <v>4</v>
      </c>
      <c r="L277" s="5">
        <v>35</v>
      </c>
      <c r="M277" s="5">
        <v>14</v>
      </c>
      <c r="N277" s="6">
        <v>0.15</v>
      </c>
      <c r="O277" s="15">
        <f>Sales[[#This Row],[Quantity]]*Sales[[#This Row],[Unit Price]]*(1-Sales[[#This Row],[Discount Rate]])</f>
        <v>119</v>
      </c>
      <c r="P277" s="15">
        <f>Sales[[#This Row],[Unit Cost]]*Sales[[#This Row],[Quantity]]</f>
        <v>56</v>
      </c>
      <c r="Q277" s="15">
        <f>Sales[[#This Row],[Revenue]]-Sales[[#This Row],[Product cost]]</f>
        <v>63</v>
      </c>
      <c r="R277" s="21">
        <f>Sales[[#This Row],[Gross Profit]]/Sales[[#This Row],[Revenue]]</f>
        <v>0.52941176470588236</v>
      </c>
    </row>
    <row r="278" spans="1:18">
      <c r="A278" t="s">
        <v>450</v>
      </c>
      <c r="B278" s="4">
        <v>46130</v>
      </c>
      <c r="C278" t="s">
        <v>51</v>
      </c>
      <c r="D278" t="s">
        <v>52</v>
      </c>
      <c r="E278" t="s">
        <v>50</v>
      </c>
      <c r="F278" t="s">
        <v>175</v>
      </c>
      <c r="G278" t="s">
        <v>100</v>
      </c>
      <c r="H278" t="s">
        <v>101</v>
      </c>
      <c r="I278" t="s">
        <v>58</v>
      </c>
      <c r="J278" t="s">
        <v>152</v>
      </c>
      <c r="K278" s="17">
        <v>1</v>
      </c>
      <c r="L278" s="5">
        <v>130</v>
      </c>
      <c r="M278" s="5">
        <v>65</v>
      </c>
      <c r="N278" s="6">
        <v>0.1</v>
      </c>
      <c r="O278" s="15">
        <f>Sales[[#This Row],[Quantity]]*Sales[[#This Row],[Unit Price]]*(1-Sales[[#This Row],[Discount Rate]])</f>
        <v>117</v>
      </c>
      <c r="P278" s="15">
        <f>Sales[[#This Row],[Unit Cost]]*Sales[[#This Row],[Quantity]]</f>
        <v>65</v>
      </c>
      <c r="Q278" s="15">
        <f>Sales[[#This Row],[Revenue]]-Sales[[#This Row],[Product cost]]</f>
        <v>52</v>
      </c>
      <c r="R278" s="21">
        <f>Sales[[#This Row],[Gross Profit]]/Sales[[#This Row],[Revenue]]</f>
        <v>0.44444444444444442</v>
      </c>
    </row>
    <row r="279" spans="1:18">
      <c r="A279" t="s">
        <v>451</v>
      </c>
      <c r="B279" s="4">
        <v>46164</v>
      </c>
      <c r="C279" t="s">
        <v>46</v>
      </c>
      <c r="D279" t="s">
        <v>47</v>
      </c>
      <c r="E279" t="s">
        <v>43</v>
      </c>
      <c r="F279" t="s">
        <v>171</v>
      </c>
      <c r="G279" t="s">
        <v>114</v>
      </c>
      <c r="H279" t="s">
        <v>115</v>
      </c>
      <c r="I279" t="s">
        <v>58</v>
      </c>
      <c r="J279" t="s">
        <v>150</v>
      </c>
      <c r="K279" s="17">
        <v>2</v>
      </c>
      <c r="L279" s="5">
        <v>55</v>
      </c>
      <c r="M279" s="5">
        <v>22</v>
      </c>
      <c r="N279" s="6">
        <v>0</v>
      </c>
      <c r="O279" s="15">
        <f>Sales[[#This Row],[Quantity]]*Sales[[#This Row],[Unit Price]]*(1-Sales[[#This Row],[Discount Rate]])</f>
        <v>110</v>
      </c>
      <c r="P279" s="15">
        <f>Sales[[#This Row],[Unit Cost]]*Sales[[#This Row],[Quantity]]</f>
        <v>44</v>
      </c>
      <c r="Q279" s="15">
        <f>Sales[[#This Row],[Revenue]]-Sales[[#This Row],[Product cost]]</f>
        <v>66</v>
      </c>
      <c r="R279" s="21">
        <f>Sales[[#This Row],[Gross Profit]]/Sales[[#This Row],[Revenue]]</f>
        <v>0.6</v>
      </c>
    </row>
    <row r="280" spans="1:18">
      <c r="A280" t="s">
        <v>452</v>
      </c>
      <c r="B280" s="4">
        <v>46147</v>
      </c>
      <c r="C280" t="s">
        <v>44</v>
      </c>
      <c r="D280" t="s">
        <v>45</v>
      </c>
      <c r="E280" t="s">
        <v>43</v>
      </c>
      <c r="F280" t="s">
        <v>175</v>
      </c>
      <c r="G280" t="s">
        <v>122</v>
      </c>
      <c r="H280" t="s">
        <v>123</v>
      </c>
      <c r="I280" t="s">
        <v>63</v>
      </c>
      <c r="J280" t="s">
        <v>152</v>
      </c>
      <c r="K280" s="17">
        <v>6</v>
      </c>
      <c r="L280" s="5">
        <v>21</v>
      </c>
      <c r="M280" s="5">
        <v>7</v>
      </c>
      <c r="N280" s="6">
        <v>0.15</v>
      </c>
      <c r="O280" s="15">
        <f>Sales[[#This Row],[Quantity]]*Sales[[#This Row],[Unit Price]]*(1-Sales[[#This Row],[Discount Rate]])</f>
        <v>107.1</v>
      </c>
      <c r="P280" s="15">
        <f>Sales[[#This Row],[Unit Cost]]*Sales[[#This Row],[Quantity]]</f>
        <v>42</v>
      </c>
      <c r="Q280" s="15">
        <f>Sales[[#This Row],[Revenue]]-Sales[[#This Row],[Product cost]]</f>
        <v>65.099999999999994</v>
      </c>
      <c r="R280" s="21">
        <f>Sales[[#This Row],[Gross Profit]]/Sales[[#This Row],[Revenue]]</f>
        <v>0.60784313725490191</v>
      </c>
    </row>
    <row r="281" spans="1:18">
      <c r="A281" t="s">
        <v>453</v>
      </c>
      <c r="B281" s="4">
        <v>46125</v>
      </c>
      <c r="C281" t="s">
        <v>41</v>
      </c>
      <c r="D281" t="s">
        <v>42</v>
      </c>
      <c r="E281" t="s">
        <v>43</v>
      </c>
      <c r="F281" t="s">
        <v>171</v>
      </c>
      <c r="G281" t="s">
        <v>132</v>
      </c>
      <c r="H281" t="s">
        <v>133</v>
      </c>
      <c r="I281" t="s">
        <v>58</v>
      </c>
      <c r="J281" t="s">
        <v>153</v>
      </c>
      <c r="K281" s="17">
        <v>3</v>
      </c>
      <c r="L281" s="5">
        <v>35</v>
      </c>
      <c r="M281" s="5">
        <v>14</v>
      </c>
      <c r="N281" s="6">
        <v>0</v>
      </c>
      <c r="O281" s="15">
        <f>Sales[[#This Row],[Quantity]]*Sales[[#This Row],[Unit Price]]*(1-Sales[[#This Row],[Discount Rate]])</f>
        <v>105</v>
      </c>
      <c r="P281" s="15">
        <f>Sales[[#This Row],[Unit Cost]]*Sales[[#This Row],[Quantity]]</f>
        <v>42</v>
      </c>
      <c r="Q281" s="15">
        <f>Sales[[#This Row],[Revenue]]-Sales[[#This Row],[Product cost]]</f>
        <v>63</v>
      </c>
      <c r="R281" s="21">
        <f>Sales[[#This Row],[Gross Profit]]/Sales[[#This Row],[Revenue]]</f>
        <v>0.6</v>
      </c>
    </row>
    <row r="282" spans="1:18">
      <c r="A282" t="s">
        <v>454</v>
      </c>
      <c r="B282" s="4">
        <v>46032</v>
      </c>
      <c r="C282" t="s">
        <v>41</v>
      </c>
      <c r="D282" t="s">
        <v>42</v>
      </c>
      <c r="E282" t="s">
        <v>43</v>
      </c>
      <c r="F282" t="s">
        <v>171</v>
      </c>
      <c r="G282" t="s">
        <v>114</v>
      </c>
      <c r="H282" t="s">
        <v>115</v>
      </c>
      <c r="I282" t="s">
        <v>58</v>
      </c>
      <c r="J282" t="s">
        <v>151</v>
      </c>
      <c r="K282" s="17">
        <v>3</v>
      </c>
      <c r="L282" s="5">
        <v>35</v>
      </c>
      <c r="M282" s="5">
        <v>14</v>
      </c>
      <c r="N282" s="6">
        <v>0</v>
      </c>
      <c r="O282" s="15">
        <f>Sales[[#This Row],[Quantity]]*Sales[[#This Row],[Unit Price]]*(1-Sales[[#This Row],[Discount Rate]])</f>
        <v>105</v>
      </c>
      <c r="P282" s="15">
        <f>Sales[[#This Row],[Unit Cost]]*Sales[[#This Row],[Quantity]]</f>
        <v>42</v>
      </c>
      <c r="Q282" s="15">
        <f>Sales[[#This Row],[Revenue]]-Sales[[#This Row],[Product cost]]</f>
        <v>63</v>
      </c>
      <c r="R282" s="21">
        <f>Sales[[#This Row],[Gross Profit]]/Sales[[#This Row],[Revenue]]</f>
        <v>0.6</v>
      </c>
    </row>
    <row r="283" spans="1:18">
      <c r="A283" t="s">
        <v>455</v>
      </c>
      <c r="B283" s="4">
        <v>46071</v>
      </c>
      <c r="C283" t="s">
        <v>46</v>
      </c>
      <c r="D283" t="s">
        <v>47</v>
      </c>
      <c r="E283" t="s">
        <v>43</v>
      </c>
      <c r="F283" t="s">
        <v>175</v>
      </c>
      <c r="G283" t="s">
        <v>110</v>
      </c>
      <c r="H283" t="s">
        <v>111</v>
      </c>
      <c r="I283" t="s">
        <v>63</v>
      </c>
      <c r="J283" t="s">
        <v>150</v>
      </c>
      <c r="K283" s="17">
        <v>2</v>
      </c>
      <c r="L283" s="5">
        <v>52.25</v>
      </c>
      <c r="M283" s="5">
        <v>22</v>
      </c>
      <c r="N283" s="6">
        <v>0</v>
      </c>
      <c r="O283" s="15">
        <f>Sales[[#This Row],[Quantity]]*Sales[[#This Row],[Unit Price]]*(1-Sales[[#This Row],[Discount Rate]])</f>
        <v>104.5</v>
      </c>
      <c r="P283" s="15">
        <f>Sales[[#This Row],[Unit Cost]]*Sales[[#This Row],[Quantity]]</f>
        <v>44</v>
      </c>
      <c r="Q283" s="15">
        <f>Sales[[#This Row],[Revenue]]-Sales[[#This Row],[Product cost]]</f>
        <v>60.5</v>
      </c>
      <c r="R283" s="21">
        <f>Sales[[#This Row],[Gross Profit]]/Sales[[#This Row],[Revenue]]</f>
        <v>0.57894736842105265</v>
      </c>
    </row>
    <row r="284" spans="1:18">
      <c r="A284" t="s">
        <v>456</v>
      </c>
      <c r="B284" s="4">
        <v>46049</v>
      </c>
      <c r="C284" t="s">
        <v>46</v>
      </c>
      <c r="D284" t="s">
        <v>47</v>
      </c>
      <c r="E284" t="s">
        <v>43</v>
      </c>
      <c r="F284" t="s">
        <v>173</v>
      </c>
      <c r="G284" t="s">
        <v>112</v>
      </c>
      <c r="H284" t="s">
        <v>113</v>
      </c>
      <c r="I284" t="s">
        <v>58</v>
      </c>
      <c r="J284" t="s">
        <v>152</v>
      </c>
      <c r="K284" s="17">
        <v>2</v>
      </c>
      <c r="L284" s="5">
        <v>52.25</v>
      </c>
      <c r="M284" s="5">
        <v>22</v>
      </c>
      <c r="N284" s="6">
        <v>0</v>
      </c>
      <c r="O284" s="15">
        <f>Sales[[#This Row],[Quantity]]*Sales[[#This Row],[Unit Price]]*(1-Sales[[#This Row],[Discount Rate]])</f>
        <v>104.5</v>
      </c>
      <c r="P284" s="15">
        <f>Sales[[#This Row],[Unit Cost]]*Sales[[#This Row],[Quantity]]</f>
        <v>44</v>
      </c>
      <c r="Q284" s="15">
        <f>Sales[[#This Row],[Revenue]]-Sales[[#This Row],[Product cost]]</f>
        <v>60.5</v>
      </c>
      <c r="R284" s="21">
        <f>Sales[[#This Row],[Gross Profit]]/Sales[[#This Row],[Revenue]]</f>
        <v>0.57894736842105265</v>
      </c>
    </row>
    <row r="285" spans="1:18">
      <c r="A285" t="s">
        <v>457</v>
      </c>
      <c r="B285" s="4">
        <v>46175</v>
      </c>
      <c r="C285" t="s">
        <v>46</v>
      </c>
      <c r="D285" t="s">
        <v>47</v>
      </c>
      <c r="E285" t="s">
        <v>43</v>
      </c>
      <c r="F285" t="s">
        <v>178</v>
      </c>
      <c r="G285" t="s">
        <v>94</v>
      </c>
      <c r="H285" t="s">
        <v>95</v>
      </c>
      <c r="I285" t="s">
        <v>58</v>
      </c>
      <c r="J285" t="s">
        <v>153</v>
      </c>
      <c r="K285" s="17">
        <v>2</v>
      </c>
      <c r="L285" s="5">
        <v>55</v>
      </c>
      <c r="M285" s="5">
        <v>22</v>
      </c>
      <c r="N285" s="6">
        <v>0.05</v>
      </c>
      <c r="O285" s="15">
        <f>Sales[[#This Row],[Quantity]]*Sales[[#This Row],[Unit Price]]*(1-Sales[[#This Row],[Discount Rate]])</f>
        <v>104.5</v>
      </c>
      <c r="P285" s="15">
        <f>Sales[[#This Row],[Unit Cost]]*Sales[[#This Row],[Quantity]]</f>
        <v>44</v>
      </c>
      <c r="Q285" s="15">
        <f>Sales[[#This Row],[Revenue]]-Sales[[#This Row],[Product cost]]</f>
        <v>60.5</v>
      </c>
      <c r="R285" s="21">
        <f>Sales[[#This Row],[Gross Profit]]/Sales[[#This Row],[Revenue]]</f>
        <v>0.57894736842105265</v>
      </c>
    </row>
    <row r="286" spans="1:18">
      <c r="A286" t="s">
        <v>458</v>
      </c>
      <c r="B286" s="4">
        <v>46142</v>
      </c>
      <c r="C286" t="s">
        <v>44</v>
      </c>
      <c r="D286" t="s">
        <v>45</v>
      </c>
      <c r="E286" t="s">
        <v>43</v>
      </c>
      <c r="F286" t="s">
        <v>175</v>
      </c>
      <c r="G286" t="s">
        <v>98</v>
      </c>
      <c r="H286" t="s">
        <v>99</v>
      </c>
      <c r="I286" t="s">
        <v>63</v>
      </c>
      <c r="J286" t="s">
        <v>150</v>
      </c>
      <c r="K286" s="17">
        <v>6</v>
      </c>
      <c r="L286" s="5">
        <v>20</v>
      </c>
      <c r="M286" s="5">
        <v>7</v>
      </c>
      <c r="N286" s="6">
        <v>0.15</v>
      </c>
      <c r="O286" s="15">
        <f>Sales[[#This Row],[Quantity]]*Sales[[#This Row],[Unit Price]]*(1-Sales[[#This Row],[Discount Rate]])</f>
        <v>102</v>
      </c>
      <c r="P286" s="15">
        <f>Sales[[#This Row],[Unit Cost]]*Sales[[#This Row],[Quantity]]</f>
        <v>42</v>
      </c>
      <c r="Q286" s="15">
        <f>Sales[[#This Row],[Revenue]]-Sales[[#This Row],[Product cost]]</f>
        <v>60</v>
      </c>
      <c r="R286" s="21">
        <f>Sales[[#This Row],[Gross Profit]]/Sales[[#This Row],[Revenue]]</f>
        <v>0.58823529411764708</v>
      </c>
    </row>
    <row r="287" spans="1:18">
      <c r="A287" t="s">
        <v>459</v>
      </c>
      <c r="B287" s="4">
        <v>46172</v>
      </c>
      <c r="C287" t="s">
        <v>44</v>
      </c>
      <c r="D287" t="s">
        <v>45</v>
      </c>
      <c r="E287" t="s">
        <v>43</v>
      </c>
      <c r="F287" t="s">
        <v>175</v>
      </c>
      <c r="G287" t="s">
        <v>74</v>
      </c>
      <c r="H287" t="s">
        <v>75</v>
      </c>
      <c r="I287" t="s">
        <v>63</v>
      </c>
      <c r="J287" t="s">
        <v>150</v>
      </c>
      <c r="K287" s="17">
        <v>5</v>
      </c>
      <c r="L287" s="5">
        <v>20</v>
      </c>
      <c r="M287" s="5">
        <v>7</v>
      </c>
      <c r="N287" s="6">
        <v>0</v>
      </c>
      <c r="O287" s="15">
        <f>Sales[[#This Row],[Quantity]]*Sales[[#This Row],[Unit Price]]*(1-Sales[[#This Row],[Discount Rate]])</f>
        <v>100</v>
      </c>
      <c r="P287" s="15">
        <f>Sales[[#This Row],[Unit Cost]]*Sales[[#This Row],[Quantity]]</f>
        <v>35</v>
      </c>
      <c r="Q287" s="15">
        <f>Sales[[#This Row],[Revenue]]-Sales[[#This Row],[Product cost]]</f>
        <v>65</v>
      </c>
      <c r="R287" s="21">
        <f>Sales[[#This Row],[Gross Profit]]/Sales[[#This Row],[Revenue]]</f>
        <v>0.65</v>
      </c>
    </row>
    <row r="288" spans="1:18">
      <c r="A288" t="s">
        <v>460</v>
      </c>
      <c r="B288" s="4">
        <v>46113</v>
      </c>
      <c r="C288" t="s">
        <v>41</v>
      </c>
      <c r="D288" t="s">
        <v>42</v>
      </c>
      <c r="E288" t="s">
        <v>43</v>
      </c>
      <c r="F288" t="s">
        <v>178</v>
      </c>
      <c r="G288" t="s">
        <v>80</v>
      </c>
      <c r="H288" t="s">
        <v>81</v>
      </c>
      <c r="I288" t="s">
        <v>63</v>
      </c>
      <c r="J288" t="s">
        <v>153</v>
      </c>
      <c r="K288" s="17">
        <v>3</v>
      </c>
      <c r="L288" s="5">
        <v>33.25</v>
      </c>
      <c r="M288" s="5">
        <v>14</v>
      </c>
      <c r="N288" s="6">
        <v>0</v>
      </c>
      <c r="O288" s="15">
        <f>Sales[[#This Row],[Quantity]]*Sales[[#This Row],[Unit Price]]*(1-Sales[[#This Row],[Discount Rate]])</f>
        <v>99.75</v>
      </c>
      <c r="P288" s="15">
        <f>Sales[[#This Row],[Unit Cost]]*Sales[[#This Row],[Quantity]]</f>
        <v>42</v>
      </c>
      <c r="Q288" s="15">
        <f>Sales[[#This Row],[Revenue]]-Sales[[#This Row],[Product cost]]</f>
        <v>57.75</v>
      </c>
      <c r="R288" s="21">
        <f>Sales[[#This Row],[Gross Profit]]/Sales[[#This Row],[Revenue]]</f>
        <v>0.57894736842105265</v>
      </c>
    </row>
    <row r="289" spans="1:18">
      <c r="A289" t="s">
        <v>461</v>
      </c>
      <c r="B289" s="4">
        <v>46197</v>
      </c>
      <c r="C289" t="s">
        <v>41</v>
      </c>
      <c r="D289" t="s">
        <v>42</v>
      </c>
      <c r="E289" t="s">
        <v>43</v>
      </c>
      <c r="F289" t="s">
        <v>171</v>
      </c>
      <c r="G289" t="s">
        <v>66</v>
      </c>
      <c r="H289" t="s">
        <v>67</v>
      </c>
      <c r="I289" t="s">
        <v>58</v>
      </c>
      <c r="J289" t="s">
        <v>151</v>
      </c>
      <c r="K289" s="17">
        <v>3</v>
      </c>
      <c r="L289" s="5">
        <v>35</v>
      </c>
      <c r="M289" s="5">
        <v>14</v>
      </c>
      <c r="N289" s="6">
        <v>0.05</v>
      </c>
      <c r="O289" s="15">
        <f>Sales[[#This Row],[Quantity]]*Sales[[#This Row],[Unit Price]]*(1-Sales[[#This Row],[Discount Rate]])</f>
        <v>99.75</v>
      </c>
      <c r="P289" s="15">
        <f>Sales[[#This Row],[Unit Cost]]*Sales[[#This Row],[Quantity]]</f>
        <v>42</v>
      </c>
      <c r="Q289" s="15">
        <f>Sales[[#This Row],[Revenue]]-Sales[[#This Row],[Product cost]]</f>
        <v>57.75</v>
      </c>
      <c r="R289" s="21">
        <f>Sales[[#This Row],[Gross Profit]]/Sales[[#This Row],[Revenue]]</f>
        <v>0.57894736842105265</v>
      </c>
    </row>
    <row r="290" spans="1:18">
      <c r="A290" t="s">
        <v>462</v>
      </c>
      <c r="B290" s="4">
        <v>46152</v>
      </c>
      <c r="C290" t="s">
        <v>41</v>
      </c>
      <c r="D290" t="s">
        <v>42</v>
      </c>
      <c r="E290" t="s">
        <v>43</v>
      </c>
      <c r="F290" t="s">
        <v>173</v>
      </c>
      <c r="G290" t="s">
        <v>128</v>
      </c>
      <c r="H290" t="s">
        <v>129</v>
      </c>
      <c r="I290" t="s">
        <v>63</v>
      </c>
      <c r="J290" t="s">
        <v>153</v>
      </c>
      <c r="K290" s="17">
        <v>3</v>
      </c>
      <c r="L290" s="5">
        <v>33.25</v>
      </c>
      <c r="M290" s="5">
        <v>14</v>
      </c>
      <c r="N290" s="6">
        <v>0</v>
      </c>
      <c r="O290" s="15">
        <f>Sales[[#This Row],[Quantity]]*Sales[[#This Row],[Unit Price]]*(1-Sales[[#This Row],[Discount Rate]])</f>
        <v>99.75</v>
      </c>
      <c r="P290" s="15">
        <f>Sales[[#This Row],[Unit Cost]]*Sales[[#This Row],[Quantity]]</f>
        <v>42</v>
      </c>
      <c r="Q290" s="15">
        <f>Sales[[#This Row],[Revenue]]-Sales[[#This Row],[Product cost]]</f>
        <v>57.75</v>
      </c>
      <c r="R290" s="21">
        <f>Sales[[#This Row],[Gross Profit]]/Sales[[#This Row],[Revenue]]</f>
        <v>0.57894736842105265</v>
      </c>
    </row>
    <row r="291" spans="1:18">
      <c r="A291" t="s">
        <v>463</v>
      </c>
      <c r="B291" s="4">
        <v>46197</v>
      </c>
      <c r="C291" t="s">
        <v>46</v>
      </c>
      <c r="D291" t="s">
        <v>47</v>
      </c>
      <c r="E291" t="s">
        <v>43</v>
      </c>
      <c r="F291" t="s">
        <v>178</v>
      </c>
      <c r="G291" t="s">
        <v>94</v>
      </c>
      <c r="H291" t="s">
        <v>95</v>
      </c>
      <c r="I291" t="s">
        <v>58</v>
      </c>
      <c r="J291" t="s">
        <v>150</v>
      </c>
      <c r="K291" s="17">
        <v>2</v>
      </c>
      <c r="L291" s="5">
        <v>55</v>
      </c>
      <c r="M291" s="5">
        <v>22</v>
      </c>
      <c r="N291" s="6">
        <v>0.1</v>
      </c>
      <c r="O291" s="15">
        <f>Sales[[#This Row],[Quantity]]*Sales[[#This Row],[Unit Price]]*(1-Sales[[#This Row],[Discount Rate]])</f>
        <v>99</v>
      </c>
      <c r="P291" s="15">
        <f>Sales[[#This Row],[Unit Cost]]*Sales[[#This Row],[Quantity]]</f>
        <v>44</v>
      </c>
      <c r="Q291" s="15">
        <f>Sales[[#This Row],[Revenue]]-Sales[[#This Row],[Product cost]]</f>
        <v>55</v>
      </c>
      <c r="R291" s="21">
        <f>Sales[[#This Row],[Gross Profit]]/Sales[[#This Row],[Revenue]]</f>
        <v>0.55555555555555558</v>
      </c>
    </row>
    <row r="292" spans="1:18">
      <c r="A292" t="s">
        <v>464</v>
      </c>
      <c r="B292" s="4">
        <v>46151</v>
      </c>
      <c r="C292" t="s">
        <v>46</v>
      </c>
      <c r="D292" t="s">
        <v>47</v>
      </c>
      <c r="E292" t="s">
        <v>43</v>
      </c>
      <c r="F292" t="s">
        <v>178</v>
      </c>
      <c r="G292" t="s">
        <v>96</v>
      </c>
      <c r="H292" t="s">
        <v>97</v>
      </c>
      <c r="I292" t="s">
        <v>58</v>
      </c>
      <c r="J292" t="s">
        <v>153</v>
      </c>
      <c r="K292" s="17">
        <v>2</v>
      </c>
      <c r="L292" s="5">
        <v>55</v>
      </c>
      <c r="M292" s="5">
        <v>22</v>
      </c>
      <c r="N292" s="6">
        <v>0.1</v>
      </c>
      <c r="O292" s="15">
        <f>Sales[[#This Row],[Quantity]]*Sales[[#This Row],[Unit Price]]*(1-Sales[[#This Row],[Discount Rate]])</f>
        <v>99</v>
      </c>
      <c r="P292" s="15">
        <f>Sales[[#This Row],[Unit Cost]]*Sales[[#This Row],[Quantity]]</f>
        <v>44</v>
      </c>
      <c r="Q292" s="15">
        <f>Sales[[#This Row],[Revenue]]-Sales[[#This Row],[Product cost]]</f>
        <v>55</v>
      </c>
      <c r="R292" s="21">
        <f>Sales[[#This Row],[Gross Profit]]/Sales[[#This Row],[Revenue]]</f>
        <v>0.55555555555555558</v>
      </c>
    </row>
    <row r="293" spans="1:18">
      <c r="A293" t="s">
        <v>465</v>
      </c>
      <c r="B293" s="4">
        <v>46168</v>
      </c>
      <c r="C293" t="s">
        <v>41</v>
      </c>
      <c r="D293" t="s">
        <v>42</v>
      </c>
      <c r="E293" t="s">
        <v>43</v>
      </c>
      <c r="F293" t="s">
        <v>175</v>
      </c>
      <c r="G293" t="s">
        <v>118</v>
      </c>
      <c r="H293" t="s">
        <v>119</v>
      </c>
      <c r="I293" t="s">
        <v>58</v>
      </c>
      <c r="J293" t="s">
        <v>152</v>
      </c>
      <c r="K293" s="17">
        <v>3</v>
      </c>
      <c r="L293" s="5">
        <v>33.25</v>
      </c>
      <c r="M293" s="5">
        <v>14</v>
      </c>
      <c r="N293" s="6">
        <v>0.05</v>
      </c>
      <c r="O293" s="15">
        <f>Sales[[#This Row],[Quantity]]*Sales[[#This Row],[Unit Price]]*(1-Sales[[#This Row],[Discount Rate]])</f>
        <v>94.762499999999989</v>
      </c>
      <c r="P293" s="15">
        <f>Sales[[#This Row],[Unit Cost]]*Sales[[#This Row],[Quantity]]</f>
        <v>42</v>
      </c>
      <c r="Q293" s="15">
        <f>Sales[[#This Row],[Revenue]]-Sales[[#This Row],[Product cost]]</f>
        <v>52.762499999999989</v>
      </c>
      <c r="R293" s="21">
        <f>Sales[[#This Row],[Gross Profit]]/Sales[[#This Row],[Revenue]]</f>
        <v>0.55678670360110794</v>
      </c>
    </row>
    <row r="294" spans="1:18">
      <c r="A294" t="s">
        <v>466</v>
      </c>
      <c r="B294" s="4">
        <v>46170</v>
      </c>
      <c r="C294" t="s">
        <v>41</v>
      </c>
      <c r="D294" t="s">
        <v>42</v>
      </c>
      <c r="E294" t="s">
        <v>43</v>
      </c>
      <c r="F294" t="s">
        <v>171</v>
      </c>
      <c r="G294" t="s">
        <v>90</v>
      </c>
      <c r="H294" t="s">
        <v>91</v>
      </c>
      <c r="I294" t="s">
        <v>58</v>
      </c>
      <c r="J294" t="s">
        <v>152</v>
      </c>
      <c r="K294" s="17">
        <v>3</v>
      </c>
      <c r="L294" s="5">
        <v>36.75</v>
      </c>
      <c r="M294" s="5">
        <v>14</v>
      </c>
      <c r="N294" s="6">
        <v>0.15</v>
      </c>
      <c r="O294" s="15">
        <f>Sales[[#This Row],[Quantity]]*Sales[[#This Row],[Unit Price]]*(1-Sales[[#This Row],[Discount Rate]])</f>
        <v>93.712499999999991</v>
      </c>
      <c r="P294" s="15">
        <f>Sales[[#This Row],[Unit Cost]]*Sales[[#This Row],[Quantity]]</f>
        <v>42</v>
      </c>
      <c r="Q294" s="15">
        <f>Sales[[#This Row],[Revenue]]-Sales[[#This Row],[Product cost]]</f>
        <v>51.712499999999991</v>
      </c>
      <c r="R294" s="21">
        <f>Sales[[#This Row],[Gross Profit]]/Sales[[#This Row],[Revenue]]</f>
        <v>0.55182072829131645</v>
      </c>
    </row>
    <row r="295" spans="1:18">
      <c r="A295" t="s">
        <v>467</v>
      </c>
      <c r="B295" s="4">
        <v>46167</v>
      </c>
      <c r="C295" t="s">
        <v>41</v>
      </c>
      <c r="D295" t="s">
        <v>42</v>
      </c>
      <c r="E295" t="s">
        <v>43</v>
      </c>
      <c r="F295" t="s">
        <v>178</v>
      </c>
      <c r="G295" t="s">
        <v>70</v>
      </c>
      <c r="H295" t="s">
        <v>71</v>
      </c>
      <c r="I295" t="s">
        <v>58</v>
      </c>
      <c r="J295" t="s">
        <v>150</v>
      </c>
      <c r="K295" s="17">
        <v>3</v>
      </c>
      <c r="L295" s="5">
        <v>36.75</v>
      </c>
      <c r="M295" s="5">
        <v>14</v>
      </c>
      <c r="N295" s="6">
        <v>0.15</v>
      </c>
      <c r="O295" s="15">
        <f>Sales[[#This Row],[Quantity]]*Sales[[#This Row],[Unit Price]]*(1-Sales[[#This Row],[Discount Rate]])</f>
        <v>93.712499999999991</v>
      </c>
      <c r="P295" s="15">
        <f>Sales[[#This Row],[Unit Cost]]*Sales[[#This Row],[Quantity]]</f>
        <v>42</v>
      </c>
      <c r="Q295" s="15">
        <f>Sales[[#This Row],[Revenue]]-Sales[[#This Row],[Product cost]]</f>
        <v>51.712499999999991</v>
      </c>
      <c r="R295" s="21">
        <f>Sales[[#This Row],[Gross Profit]]/Sales[[#This Row],[Revenue]]</f>
        <v>0.55182072829131645</v>
      </c>
    </row>
    <row r="296" spans="1:18">
      <c r="A296" t="s">
        <v>468</v>
      </c>
      <c r="B296" s="4">
        <v>46171</v>
      </c>
      <c r="C296" t="s">
        <v>41</v>
      </c>
      <c r="D296" t="s">
        <v>42</v>
      </c>
      <c r="E296" t="s">
        <v>43</v>
      </c>
      <c r="F296" t="s">
        <v>175</v>
      </c>
      <c r="G296" t="s">
        <v>61</v>
      </c>
      <c r="H296" t="s">
        <v>62</v>
      </c>
      <c r="I296" t="s">
        <v>63</v>
      </c>
      <c r="J296" t="s">
        <v>152</v>
      </c>
      <c r="K296" s="17">
        <v>3</v>
      </c>
      <c r="L296" s="5">
        <v>36.75</v>
      </c>
      <c r="M296" s="5">
        <v>14</v>
      </c>
      <c r="N296" s="6">
        <v>0.15</v>
      </c>
      <c r="O296" s="15">
        <f>Sales[[#This Row],[Quantity]]*Sales[[#This Row],[Unit Price]]*(1-Sales[[#This Row],[Discount Rate]])</f>
        <v>93.712499999999991</v>
      </c>
      <c r="P296" s="15">
        <f>Sales[[#This Row],[Unit Cost]]*Sales[[#This Row],[Quantity]]</f>
        <v>42</v>
      </c>
      <c r="Q296" s="15">
        <f>Sales[[#This Row],[Revenue]]-Sales[[#This Row],[Product cost]]</f>
        <v>51.712499999999991</v>
      </c>
      <c r="R296" s="21">
        <f>Sales[[#This Row],[Gross Profit]]/Sales[[#This Row],[Revenue]]</f>
        <v>0.55182072829131645</v>
      </c>
    </row>
    <row r="297" spans="1:18">
      <c r="A297" t="s">
        <v>469</v>
      </c>
      <c r="B297" s="4">
        <v>46066</v>
      </c>
      <c r="C297" t="s">
        <v>46</v>
      </c>
      <c r="D297" t="s">
        <v>47</v>
      </c>
      <c r="E297" t="s">
        <v>43</v>
      </c>
      <c r="F297" t="s">
        <v>173</v>
      </c>
      <c r="G297" t="s">
        <v>82</v>
      </c>
      <c r="H297" t="s">
        <v>83</v>
      </c>
      <c r="I297" t="s">
        <v>58</v>
      </c>
      <c r="J297" t="s">
        <v>153</v>
      </c>
      <c r="K297" s="17">
        <v>2</v>
      </c>
      <c r="L297" s="5">
        <v>55</v>
      </c>
      <c r="M297" s="5">
        <v>22</v>
      </c>
      <c r="N297" s="6">
        <v>0.15</v>
      </c>
      <c r="O297" s="15">
        <f>Sales[[#This Row],[Quantity]]*Sales[[#This Row],[Unit Price]]*(1-Sales[[#This Row],[Discount Rate]])</f>
        <v>93.5</v>
      </c>
      <c r="P297" s="15">
        <f>Sales[[#This Row],[Unit Cost]]*Sales[[#This Row],[Quantity]]</f>
        <v>44</v>
      </c>
      <c r="Q297" s="15">
        <f>Sales[[#This Row],[Revenue]]-Sales[[#This Row],[Product cost]]</f>
        <v>49.5</v>
      </c>
      <c r="R297" s="21">
        <f>Sales[[#This Row],[Gross Profit]]/Sales[[#This Row],[Revenue]]</f>
        <v>0.52941176470588236</v>
      </c>
    </row>
    <row r="298" spans="1:18">
      <c r="A298" t="s">
        <v>470</v>
      </c>
      <c r="B298" s="4">
        <v>46034</v>
      </c>
      <c r="C298" t="s">
        <v>46</v>
      </c>
      <c r="D298" t="s">
        <v>47</v>
      </c>
      <c r="E298" t="s">
        <v>43</v>
      </c>
      <c r="F298" t="s">
        <v>171</v>
      </c>
      <c r="G298" t="s">
        <v>76</v>
      </c>
      <c r="H298" t="s">
        <v>77</v>
      </c>
      <c r="I298" t="s">
        <v>58</v>
      </c>
      <c r="J298" t="s">
        <v>152</v>
      </c>
      <c r="K298" s="17">
        <v>2</v>
      </c>
      <c r="L298" s="5">
        <v>55</v>
      </c>
      <c r="M298" s="5">
        <v>22</v>
      </c>
      <c r="N298" s="6">
        <v>0.15</v>
      </c>
      <c r="O298" s="15">
        <f>Sales[[#This Row],[Quantity]]*Sales[[#This Row],[Unit Price]]*(1-Sales[[#This Row],[Discount Rate]])</f>
        <v>93.5</v>
      </c>
      <c r="P298" s="15">
        <f>Sales[[#This Row],[Unit Cost]]*Sales[[#This Row],[Quantity]]</f>
        <v>44</v>
      </c>
      <c r="Q298" s="15">
        <f>Sales[[#This Row],[Revenue]]-Sales[[#This Row],[Product cost]]</f>
        <v>49.5</v>
      </c>
      <c r="R298" s="21">
        <f>Sales[[#This Row],[Gross Profit]]/Sales[[#This Row],[Revenue]]</f>
        <v>0.52941176470588236</v>
      </c>
    </row>
    <row r="299" spans="1:18">
      <c r="A299" t="s">
        <v>471</v>
      </c>
      <c r="B299" s="4">
        <v>46121</v>
      </c>
      <c r="C299" t="s">
        <v>41</v>
      </c>
      <c r="D299" t="s">
        <v>42</v>
      </c>
      <c r="E299" t="s">
        <v>43</v>
      </c>
      <c r="F299" t="s">
        <v>178</v>
      </c>
      <c r="G299" t="s">
        <v>106</v>
      </c>
      <c r="H299" t="s">
        <v>107</v>
      </c>
      <c r="I299" t="s">
        <v>58</v>
      </c>
      <c r="J299" t="s">
        <v>151</v>
      </c>
      <c r="K299" s="17">
        <v>3</v>
      </c>
      <c r="L299" s="5">
        <v>35</v>
      </c>
      <c r="M299" s="5">
        <v>14</v>
      </c>
      <c r="N299" s="6">
        <v>0.15</v>
      </c>
      <c r="O299" s="15">
        <f>Sales[[#This Row],[Quantity]]*Sales[[#This Row],[Unit Price]]*(1-Sales[[#This Row],[Discount Rate]])</f>
        <v>89.25</v>
      </c>
      <c r="P299" s="15">
        <f>Sales[[#This Row],[Unit Cost]]*Sales[[#This Row],[Quantity]]</f>
        <v>42</v>
      </c>
      <c r="Q299" s="15">
        <f>Sales[[#This Row],[Revenue]]-Sales[[#This Row],[Product cost]]</f>
        <v>47.25</v>
      </c>
      <c r="R299" s="21">
        <f>Sales[[#This Row],[Gross Profit]]/Sales[[#This Row],[Revenue]]</f>
        <v>0.52941176470588236</v>
      </c>
    </row>
    <row r="300" spans="1:18">
      <c r="A300" t="s">
        <v>472</v>
      </c>
      <c r="B300" s="4">
        <v>46163</v>
      </c>
      <c r="C300" t="s">
        <v>44</v>
      </c>
      <c r="D300" t="s">
        <v>45</v>
      </c>
      <c r="E300" t="s">
        <v>43</v>
      </c>
      <c r="F300" t="s">
        <v>171</v>
      </c>
      <c r="G300" t="s">
        <v>136</v>
      </c>
      <c r="H300" t="s">
        <v>137</v>
      </c>
      <c r="I300" t="s">
        <v>58</v>
      </c>
      <c r="J300" t="s">
        <v>150</v>
      </c>
      <c r="K300" s="17">
        <v>4</v>
      </c>
      <c r="L300" s="5">
        <v>21</v>
      </c>
      <c r="M300" s="5">
        <v>7</v>
      </c>
      <c r="N300" s="6">
        <v>0</v>
      </c>
      <c r="O300" s="15">
        <f>Sales[[#This Row],[Quantity]]*Sales[[#This Row],[Unit Price]]*(1-Sales[[#This Row],[Discount Rate]])</f>
        <v>84</v>
      </c>
      <c r="P300" s="15">
        <f>Sales[[#This Row],[Unit Cost]]*Sales[[#This Row],[Quantity]]</f>
        <v>28</v>
      </c>
      <c r="Q300" s="15">
        <f>Sales[[#This Row],[Revenue]]-Sales[[#This Row],[Product cost]]</f>
        <v>56</v>
      </c>
      <c r="R300" s="21">
        <f>Sales[[#This Row],[Gross Profit]]/Sales[[#This Row],[Revenue]]</f>
        <v>0.66666666666666663</v>
      </c>
    </row>
    <row r="301" spans="1:18">
      <c r="A301" t="s">
        <v>473</v>
      </c>
      <c r="B301" s="4">
        <v>46198</v>
      </c>
      <c r="C301" t="s">
        <v>44</v>
      </c>
      <c r="D301" t="s">
        <v>45</v>
      </c>
      <c r="E301" t="s">
        <v>43</v>
      </c>
      <c r="F301" t="s">
        <v>173</v>
      </c>
      <c r="G301" t="s">
        <v>96</v>
      </c>
      <c r="H301" t="s">
        <v>97</v>
      </c>
      <c r="I301" t="s">
        <v>58</v>
      </c>
      <c r="J301" t="s">
        <v>152</v>
      </c>
      <c r="K301" s="17">
        <v>4</v>
      </c>
      <c r="L301" s="5">
        <v>20</v>
      </c>
      <c r="M301" s="5">
        <v>7</v>
      </c>
      <c r="N301" s="6">
        <v>0</v>
      </c>
      <c r="O301" s="15">
        <f>Sales[[#This Row],[Quantity]]*Sales[[#This Row],[Unit Price]]*(1-Sales[[#This Row],[Discount Rate]])</f>
        <v>80</v>
      </c>
      <c r="P301" s="15">
        <f>Sales[[#This Row],[Unit Cost]]*Sales[[#This Row],[Quantity]]</f>
        <v>28</v>
      </c>
      <c r="Q301" s="15">
        <f>Sales[[#This Row],[Revenue]]-Sales[[#This Row],[Product cost]]</f>
        <v>52</v>
      </c>
      <c r="R301" s="21">
        <f>Sales[[#This Row],[Gross Profit]]/Sales[[#This Row],[Revenue]]</f>
        <v>0.65</v>
      </c>
    </row>
    <row r="302" spans="1:18">
      <c r="A302" t="s">
        <v>474</v>
      </c>
      <c r="B302" s="4">
        <v>46080</v>
      </c>
      <c r="C302" t="s">
        <v>44</v>
      </c>
      <c r="D302" t="s">
        <v>45</v>
      </c>
      <c r="E302" t="s">
        <v>43</v>
      </c>
      <c r="F302" t="s">
        <v>178</v>
      </c>
      <c r="G302" t="s">
        <v>59</v>
      </c>
      <c r="H302" t="s">
        <v>60</v>
      </c>
      <c r="I302" t="s">
        <v>58</v>
      </c>
      <c r="J302" t="s">
        <v>153</v>
      </c>
      <c r="K302" s="17">
        <v>4</v>
      </c>
      <c r="L302" s="5">
        <v>20</v>
      </c>
      <c r="M302" s="5">
        <v>7</v>
      </c>
      <c r="N302" s="6">
        <v>0</v>
      </c>
      <c r="O302" s="15">
        <f>Sales[[#This Row],[Quantity]]*Sales[[#This Row],[Unit Price]]*(1-Sales[[#This Row],[Discount Rate]])</f>
        <v>80</v>
      </c>
      <c r="P302" s="15">
        <f>Sales[[#This Row],[Unit Cost]]*Sales[[#This Row],[Quantity]]</f>
        <v>28</v>
      </c>
      <c r="Q302" s="15">
        <f>Sales[[#This Row],[Revenue]]-Sales[[#This Row],[Product cost]]</f>
        <v>52</v>
      </c>
      <c r="R302" s="21">
        <f>Sales[[#This Row],[Gross Profit]]/Sales[[#This Row],[Revenue]]</f>
        <v>0.65</v>
      </c>
    </row>
    <row r="303" spans="1:18">
      <c r="A303" t="s">
        <v>475</v>
      </c>
      <c r="B303" s="4">
        <v>46058</v>
      </c>
      <c r="C303" t="s">
        <v>44</v>
      </c>
      <c r="D303" t="s">
        <v>45</v>
      </c>
      <c r="E303" t="s">
        <v>43</v>
      </c>
      <c r="F303" t="s">
        <v>175</v>
      </c>
      <c r="G303" t="s">
        <v>106</v>
      </c>
      <c r="H303" t="s">
        <v>107</v>
      </c>
      <c r="I303" t="s">
        <v>58</v>
      </c>
      <c r="J303" t="s">
        <v>150</v>
      </c>
      <c r="K303" s="17">
        <v>4</v>
      </c>
      <c r="L303" s="5">
        <v>20</v>
      </c>
      <c r="M303" s="5">
        <v>7</v>
      </c>
      <c r="N303" s="6">
        <v>0</v>
      </c>
      <c r="O303" s="15">
        <f>Sales[[#This Row],[Quantity]]*Sales[[#This Row],[Unit Price]]*(1-Sales[[#This Row],[Discount Rate]])</f>
        <v>80</v>
      </c>
      <c r="P303" s="15">
        <f>Sales[[#This Row],[Unit Cost]]*Sales[[#This Row],[Quantity]]</f>
        <v>28</v>
      </c>
      <c r="Q303" s="15">
        <f>Sales[[#This Row],[Revenue]]-Sales[[#This Row],[Product cost]]</f>
        <v>52</v>
      </c>
      <c r="R303" s="21">
        <f>Sales[[#This Row],[Gross Profit]]/Sales[[#This Row],[Revenue]]</f>
        <v>0.65</v>
      </c>
    </row>
    <row r="304" spans="1:18">
      <c r="A304" t="s">
        <v>476</v>
      </c>
      <c r="B304" s="4">
        <v>46040</v>
      </c>
      <c r="C304" t="s">
        <v>44</v>
      </c>
      <c r="D304" t="s">
        <v>45</v>
      </c>
      <c r="E304" t="s">
        <v>43</v>
      </c>
      <c r="F304" t="s">
        <v>178</v>
      </c>
      <c r="G304" t="s">
        <v>72</v>
      </c>
      <c r="H304" t="s">
        <v>73</v>
      </c>
      <c r="I304" t="s">
        <v>58</v>
      </c>
      <c r="J304" t="s">
        <v>153</v>
      </c>
      <c r="K304" s="17">
        <v>4</v>
      </c>
      <c r="L304" s="5">
        <v>20</v>
      </c>
      <c r="M304" s="5">
        <v>7</v>
      </c>
      <c r="N304" s="6">
        <v>0</v>
      </c>
      <c r="O304" s="15">
        <f>Sales[[#This Row],[Quantity]]*Sales[[#This Row],[Unit Price]]*(1-Sales[[#This Row],[Discount Rate]])</f>
        <v>80</v>
      </c>
      <c r="P304" s="15">
        <f>Sales[[#This Row],[Unit Cost]]*Sales[[#This Row],[Quantity]]</f>
        <v>28</v>
      </c>
      <c r="Q304" s="15">
        <f>Sales[[#This Row],[Revenue]]-Sales[[#This Row],[Product cost]]</f>
        <v>52</v>
      </c>
      <c r="R304" s="21">
        <f>Sales[[#This Row],[Gross Profit]]/Sales[[#This Row],[Revenue]]</f>
        <v>0.65</v>
      </c>
    </row>
    <row r="305" spans="1:18">
      <c r="A305" t="s">
        <v>477</v>
      </c>
      <c r="B305" s="4">
        <v>46185</v>
      </c>
      <c r="C305" t="s">
        <v>44</v>
      </c>
      <c r="D305" t="s">
        <v>45</v>
      </c>
      <c r="E305" t="s">
        <v>43</v>
      </c>
      <c r="F305" t="s">
        <v>171</v>
      </c>
      <c r="G305" t="s">
        <v>90</v>
      </c>
      <c r="H305" t="s">
        <v>91</v>
      </c>
      <c r="I305" t="s">
        <v>58</v>
      </c>
      <c r="J305" t="s">
        <v>151</v>
      </c>
      <c r="K305" s="17">
        <v>4</v>
      </c>
      <c r="L305" s="5">
        <v>21</v>
      </c>
      <c r="M305" s="5">
        <v>7</v>
      </c>
      <c r="N305" s="6">
        <v>0.05</v>
      </c>
      <c r="O305" s="15">
        <f>Sales[[#This Row],[Quantity]]*Sales[[#This Row],[Unit Price]]*(1-Sales[[#This Row],[Discount Rate]])</f>
        <v>79.8</v>
      </c>
      <c r="P305" s="15">
        <f>Sales[[#This Row],[Unit Cost]]*Sales[[#This Row],[Quantity]]</f>
        <v>28</v>
      </c>
      <c r="Q305" s="15">
        <f>Sales[[#This Row],[Revenue]]-Sales[[#This Row],[Product cost]]</f>
        <v>51.8</v>
      </c>
      <c r="R305" s="21">
        <f>Sales[[#This Row],[Gross Profit]]/Sales[[#This Row],[Revenue]]</f>
        <v>0.64912280701754388</v>
      </c>
    </row>
    <row r="306" spans="1:18">
      <c r="A306" t="s">
        <v>478</v>
      </c>
      <c r="B306" s="4">
        <v>46063</v>
      </c>
      <c r="C306" t="s">
        <v>44</v>
      </c>
      <c r="D306" t="s">
        <v>45</v>
      </c>
      <c r="E306" t="s">
        <v>43</v>
      </c>
      <c r="F306" t="s">
        <v>175</v>
      </c>
      <c r="G306" t="s">
        <v>100</v>
      </c>
      <c r="H306" t="s">
        <v>101</v>
      </c>
      <c r="I306" t="s">
        <v>58</v>
      </c>
      <c r="J306" t="s">
        <v>151</v>
      </c>
      <c r="K306" s="17">
        <v>4</v>
      </c>
      <c r="L306" s="5">
        <v>20</v>
      </c>
      <c r="M306" s="5">
        <v>7</v>
      </c>
      <c r="N306" s="6">
        <v>0.05</v>
      </c>
      <c r="O306" s="15">
        <f>Sales[[#This Row],[Quantity]]*Sales[[#This Row],[Unit Price]]*(1-Sales[[#This Row],[Discount Rate]])</f>
        <v>76</v>
      </c>
      <c r="P306" s="15">
        <f>Sales[[#This Row],[Unit Cost]]*Sales[[#This Row],[Quantity]]</f>
        <v>28</v>
      </c>
      <c r="Q306" s="15">
        <f>Sales[[#This Row],[Revenue]]-Sales[[#This Row],[Product cost]]</f>
        <v>48</v>
      </c>
      <c r="R306" s="21">
        <f>Sales[[#This Row],[Gross Profit]]/Sales[[#This Row],[Revenue]]</f>
        <v>0.63157894736842102</v>
      </c>
    </row>
    <row r="307" spans="1:18">
      <c r="A307" t="s">
        <v>479</v>
      </c>
      <c r="B307" s="4">
        <v>46169</v>
      </c>
      <c r="C307" t="s">
        <v>44</v>
      </c>
      <c r="D307" t="s">
        <v>45</v>
      </c>
      <c r="E307" t="s">
        <v>43</v>
      </c>
      <c r="F307" t="s">
        <v>171</v>
      </c>
      <c r="G307" t="s">
        <v>108</v>
      </c>
      <c r="H307" t="s">
        <v>109</v>
      </c>
      <c r="I307" t="s">
        <v>58</v>
      </c>
      <c r="J307" t="s">
        <v>150</v>
      </c>
      <c r="K307" s="17">
        <v>4</v>
      </c>
      <c r="L307" s="5">
        <v>20</v>
      </c>
      <c r="M307" s="5">
        <v>7</v>
      </c>
      <c r="N307" s="6">
        <v>0.05</v>
      </c>
      <c r="O307" s="15">
        <f>Sales[[#This Row],[Quantity]]*Sales[[#This Row],[Unit Price]]*(1-Sales[[#This Row],[Discount Rate]])</f>
        <v>76</v>
      </c>
      <c r="P307" s="15">
        <f>Sales[[#This Row],[Unit Cost]]*Sales[[#This Row],[Quantity]]</f>
        <v>28</v>
      </c>
      <c r="Q307" s="15">
        <f>Sales[[#This Row],[Revenue]]-Sales[[#This Row],[Product cost]]</f>
        <v>48</v>
      </c>
      <c r="R307" s="21">
        <f>Sales[[#This Row],[Gross Profit]]/Sales[[#This Row],[Revenue]]</f>
        <v>0.63157894736842102</v>
      </c>
    </row>
    <row r="308" spans="1:18">
      <c r="A308" t="s">
        <v>480</v>
      </c>
      <c r="B308" s="4">
        <v>46027</v>
      </c>
      <c r="C308" t="s">
        <v>44</v>
      </c>
      <c r="D308" t="s">
        <v>45</v>
      </c>
      <c r="E308" t="s">
        <v>43</v>
      </c>
      <c r="F308" t="s">
        <v>178</v>
      </c>
      <c r="G308" t="s">
        <v>78</v>
      </c>
      <c r="H308" t="s">
        <v>79</v>
      </c>
      <c r="I308" t="s">
        <v>58</v>
      </c>
      <c r="J308" t="s">
        <v>150</v>
      </c>
      <c r="K308" s="17">
        <v>4</v>
      </c>
      <c r="L308" s="5">
        <v>21</v>
      </c>
      <c r="M308" s="5">
        <v>7</v>
      </c>
      <c r="N308" s="6">
        <v>0.1</v>
      </c>
      <c r="O308" s="15">
        <f>Sales[[#This Row],[Quantity]]*Sales[[#This Row],[Unit Price]]*(1-Sales[[#This Row],[Discount Rate]])</f>
        <v>75.600000000000009</v>
      </c>
      <c r="P308" s="15">
        <f>Sales[[#This Row],[Unit Cost]]*Sales[[#This Row],[Quantity]]</f>
        <v>28</v>
      </c>
      <c r="Q308" s="15">
        <f>Sales[[#This Row],[Revenue]]-Sales[[#This Row],[Product cost]]</f>
        <v>47.600000000000009</v>
      </c>
      <c r="R308" s="21">
        <f>Sales[[#This Row],[Gross Profit]]/Sales[[#This Row],[Revenue]]</f>
        <v>0.62962962962962965</v>
      </c>
    </row>
    <row r="309" spans="1:18">
      <c r="A309" t="s">
        <v>481</v>
      </c>
      <c r="B309" s="4">
        <v>46037</v>
      </c>
      <c r="C309" t="s">
        <v>41</v>
      </c>
      <c r="D309" t="s">
        <v>42</v>
      </c>
      <c r="E309" t="s">
        <v>43</v>
      </c>
      <c r="F309" t="s">
        <v>173</v>
      </c>
      <c r="G309" t="s">
        <v>124</v>
      </c>
      <c r="H309" t="s">
        <v>125</v>
      </c>
      <c r="I309" t="s">
        <v>58</v>
      </c>
      <c r="J309" t="s">
        <v>152</v>
      </c>
      <c r="K309" s="17">
        <v>2</v>
      </c>
      <c r="L309" s="5">
        <v>36.75</v>
      </c>
      <c r="M309" s="5">
        <v>14</v>
      </c>
      <c r="N309" s="6">
        <v>0</v>
      </c>
      <c r="O309" s="15">
        <f>Sales[[#This Row],[Quantity]]*Sales[[#This Row],[Unit Price]]*(1-Sales[[#This Row],[Discount Rate]])</f>
        <v>73.5</v>
      </c>
      <c r="P309" s="15">
        <f>Sales[[#This Row],[Unit Cost]]*Sales[[#This Row],[Quantity]]</f>
        <v>28</v>
      </c>
      <c r="Q309" s="15">
        <f>Sales[[#This Row],[Revenue]]-Sales[[#This Row],[Product cost]]</f>
        <v>45.5</v>
      </c>
      <c r="R309" s="21">
        <f>Sales[[#This Row],[Gross Profit]]/Sales[[#This Row],[Revenue]]</f>
        <v>0.61904761904761907</v>
      </c>
    </row>
    <row r="310" spans="1:18">
      <c r="A310" t="s">
        <v>482</v>
      </c>
      <c r="B310" s="4">
        <v>46093</v>
      </c>
      <c r="C310" t="s">
        <v>41</v>
      </c>
      <c r="D310" t="s">
        <v>42</v>
      </c>
      <c r="E310" t="s">
        <v>43</v>
      </c>
      <c r="F310" t="s">
        <v>171</v>
      </c>
      <c r="G310" t="s">
        <v>92</v>
      </c>
      <c r="H310" t="s">
        <v>93</v>
      </c>
      <c r="I310" t="s">
        <v>63</v>
      </c>
      <c r="J310" t="s">
        <v>152</v>
      </c>
      <c r="K310" s="17">
        <v>2</v>
      </c>
      <c r="L310" s="5">
        <v>36.75</v>
      </c>
      <c r="M310" s="5">
        <v>14</v>
      </c>
      <c r="N310" s="6">
        <v>0</v>
      </c>
      <c r="O310" s="15">
        <f>Sales[[#This Row],[Quantity]]*Sales[[#This Row],[Unit Price]]*(1-Sales[[#This Row],[Discount Rate]])</f>
        <v>73.5</v>
      </c>
      <c r="P310" s="15">
        <f>Sales[[#This Row],[Unit Cost]]*Sales[[#This Row],[Quantity]]</f>
        <v>28</v>
      </c>
      <c r="Q310" s="15">
        <f>Sales[[#This Row],[Revenue]]-Sales[[#This Row],[Product cost]]</f>
        <v>45.5</v>
      </c>
      <c r="R310" s="21">
        <f>Sales[[#This Row],[Gross Profit]]/Sales[[#This Row],[Revenue]]</f>
        <v>0.61904761904761907</v>
      </c>
    </row>
    <row r="311" spans="1:18">
      <c r="A311" t="s">
        <v>483</v>
      </c>
      <c r="B311" s="4">
        <v>46189</v>
      </c>
      <c r="C311" t="s">
        <v>44</v>
      </c>
      <c r="D311" t="s">
        <v>45</v>
      </c>
      <c r="E311" t="s">
        <v>43</v>
      </c>
      <c r="F311" t="s">
        <v>178</v>
      </c>
      <c r="G311" t="s">
        <v>110</v>
      </c>
      <c r="H311" t="s">
        <v>111</v>
      </c>
      <c r="I311" t="s">
        <v>63</v>
      </c>
      <c r="J311" t="s">
        <v>153</v>
      </c>
      <c r="K311" s="17">
        <v>4</v>
      </c>
      <c r="L311" s="5">
        <v>19</v>
      </c>
      <c r="M311" s="5">
        <v>7</v>
      </c>
      <c r="N311" s="6">
        <v>0.05</v>
      </c>
      <c r="O311" s="15">
        <f>Sales[[#This Row],[Quantity]]*Sales[[#This Row],[Unit Price]]*(1-Sales[[#This Row],[Discount Rate]])</f>
        <v>72.2</v>
      </c>
      <c r="P311" s="15">
        <f>Sales[[#This Row],[Unit Cost]]*Sales[[#This Row],[Quantity]]</f>
        <v>28</v>
      </c>
      <c r="Q311" s="15">
        <f>Sales[[#This Row],[Revenue]]-Sales[[#This Row],[Product cost]]</f>
        <v>44.2</v>
      </c>
      <c r="R311" s="21">
        <f>Sales[[#This Row],[Gross Profit]]/Sales[[#This Row],[Revenue]]</f>
        <v>0.61218836565096957</v>
      </c>
    </row>
    <row r="312" spans="1:18">
      <c r="A312" t="s">
        <v>484</v>
      </c>
      <c r="B312" s="4">
        <v>46182</v>
      </c>
      <c r="C312" t="s">
        <v>44</v>
      </c>
      <c r="D312" t="s">
        <v>45</v>
      </c>
      <c r="E312" t="s">
        <v>43</v>
      </c>
      <c r="F312" t="s">
        <v>175</v>
      </c>
      <c r="G312" t="s">
        <v>114</v>
      </c>
      <c r="H312" t="s">
        <v>115</v>
      </c>
      <c r="I312" t="s">
        <v>58</v>
      </c>
      <c r="J312" t="s">
        <v>152</v>
      </c>
      <c r="K312" s="17">
        <v>4</v>
      </c>
      <c r="L312" s="5">
        <v>19</v>
      </c>
      <c r="M312" s="5">
        <v>7</v>
      </c>
      <c r="N312" s="6">
        <v>0.05</v>
      </c>
      <c r="O312" s="15">
        <f>Sales[[#This Row],[Quantity]]*Sales[[#This Row],[Unit Price]]*(1-Sales[[#This Row],[Discount Rate]])</f>
        <v>72.2</v>
      </c>
      <c r="P312" s="15">
        <f>Sales[[#This Row],[Unit Cost]]*Sales[[#This Row],[Quantity]]</f>
        <v>28</v>
      </c>
      <c r="Q312" s="15">
        <f>Sales[[#This Row],[Revenue]]-Sales[[#This Row],[Product cost]]</f>
        <v>44.2</v>
      </c>
      <c r="R312" s="21">
        <f>Sales[[#This Row],[Gross Profit]]/Sales[[#This Row],[Revenue]]</f>
        <v>0.61218836565096957</v>
      </c>
    </row>
    <row r="313" spans="1:18">
      <c r="A313" t="s">
        <v>485</v>
      </c>
      <c r="B313" s="4">
        <v>46123</v>
      </c>
      <c r="C313" t="s">
        <v>41</v>
      </c>
      <c r="D313" t="s">
        <v>42</v>
      </c>
      <c r="E313" t="s">
        <v>43</v>
      </c>
      <c r="F313" t="s">
        <v>175</v>
      </c>
      <c r="G313" t="s">
        <v>108</v>
      </c>
      <c r="H313" t="s">
        <v>109</v>
      </c>
      <c r="I313" t="s">
        <v>58</v>
      </c>
      <c r="J313" t="s">
        <v>150</v>
      </c>
      <c r="K313" s="17">
        <v>2</v>
      </c>
      <c r="L313" s="5">
        <v>35</v>
      </c>
      <c r="M313" s="5">
        <v>14</v>
      </c>
      <c r="N313" s="6">
        <v>0</v>
      </c>
      <c r="O313" s="15">
        <f>Sales[[#This Row],[Quantity]]*Sales[[#This Row],[Unit Price]]*(1-Sales[[#This Row],[Discount Rate]])</f>
        <v>70</v>
      </c>
      <c r="P313" s="15">
        <f>Sales[[#This Row],[Unit Cost]]*Sales[[#This Row],[Quantity]]</f>
        <v>28</v>
      </c>
      <c r="Q313" s="15">
        <f>Sales[[#This Row],[Revenue]]-Sales[[#This Row],[Product cost]]</f>
        <v>42</v>
      </c>
      <c r="R313" s="21">
        <f>Sales[[#This Row],[Gross Profit]]/Sales[[#This Row],[Revenue]]</f>
        <v>0.6</v>
      </c>
    </row>
    <row r="314" spans="1:18">
      <c r="A314" t="s">
        <v>486</v>
      </c>
      <c r="B314" s="4">
        <v>46180</v>
      </c>
      <c r="C314" t="s">
        <v>41</v>
      </c>
      <c r="D314" t="s">
        <v>42</v>
      </c>
      <c r="E314" t="s">
        <v>43</v>
      </c>
      <c r="F314" t="s">
        <v>175</v>
      </c>
      <c r="G314" t="s">
        <v>126</v>
      </c>
      <c r="H314" t="s">
        <v>127</v>
      </c>
      <c r="I314" t="s">
        <v>58</v>
      </c>
      <c r="J314" t="s">
        <v>152</v>
      </c>
      <c r="K314" s="17">
        <v>2</v>
      </c>
      <c r="L314" s="5">
        <v>35</v>
      </c>
      <c r="M314" s="5">
        <v>14</v>
      </c>
      <c r="N314" s="6">
        <v>0</v>
      </c>
      <c r="O314" s="15">
        <f>Sales[[#This Row],[Quantity]]*Sales[[#This Row],[Unit Price]]*(1-Sales[[#This Row],[Discount Rate]])</f>
        <v>70</v>
      </c>
      <c r="P314" s="15">
        <f>Sales[[#This Row],[Unit Cost]]*Sales[[#This Row],[Quantity]]</f>
        <v>28</v>
      </c>
      <c r="Q314" s="15">
        <f>Sales[[#This Row],[Revenue]]-Sales[[#This Row],[Product cost]]</f>
        <v>42</v>
      </c>
      <c r="R314" s="21">
        <f>Sales[[#This Row],[Gross Profit]]/Sales[[#This Row],[Revenue]]</f>
        <v>0.6</v>
      </c>
    </row>
    <row r="315" spans="1:18">
      <c r="A315" t="s">
        <v>487</v>
      </c>
      <c r="B315" s="4">
        <v>46093</v>
      </c>
      <c r="C315" t="s">
        <v>41</v>
      </c>
      <c r="D315" t="s">
        <v>42</v>
      </c>
      <c r="E315" t="s">
        <v>43</v>
      </c>
      <c r="F315" t="s">
        <v>171</v>
      </c>
      <c r="G315" t="s">
        <v>136</v>
      </c>
      <c r="H315" t="s">
        <v>137</v>
      </c>
      <c r="I315" t="s">
        <v>58</v>
      </c>
      <c r="J315" t="s">
        <v>151</v>
      </c>
      <c r="K315" s="17">
        <v>2</v>
      </c>
      <c r="L315" s="5">
        <v>35</v>
      </c>
      <c r="M315" s="5">
        <v>14</v>
      </c>
      <c r="N315" s="6">
        <v>0</v>
      </c>
      <c r="O315" s="15">
        <f>Sales[[#This Row],[Quantity]]*Sales[[#This Row],[Unit Price]]*(1-Sales[[#This Row],[Discount Rate]])</f>
        <v>70</v>
      </c>
      <c r="P315" s="15">
        <f>Sales[[#This Row],[Unit Cost]]*Sales[[#This Row],[Quantity]]</f>
        <v>28</v>
      </c>
      <c r="Q315" s="15">
        <f>Sales[[#This Row],[Revenue]]-Sales[[#This Row],[Product cost]]</f>
        <v>42</v>
      </c>
      <c r="R315" s="21">
        <f>Sales[[#This Row],[Gross Profit]]/Sales[[#This Row],[Revenue]]</f>
        <v>0.6</v>
      </c>
    </row>
    <row r="316" spans="1:18">
      <c r="A316" t="s">
        <v>488</v>
      </c>
      <c r="B316" s="4">
        <v>46137</v>
      </c>
      <c r="C316" t="s">
        <v>41</v>
      </c>
      <c r="D316" t="s">
        <v>42</v>
      </c>
      <c r="E316" t="s">
        <v>43</v>
      </c>
      <c r="F316" t="s">
        <v>171</v>
      </c>
      <c r="G316" t="s">
        <v>120</v>
      </c>
      <c r="H316" t="s">
        <v>121</v>
      </c>
      <c r="I316" t="s">
        <v>58</v>
      </c>
      <c r="J316" t="s">
        <v>152</v>
      </c>
      <c r="K316" s="17">
        <v>2</v>
      </c>
      <c r="L316" s="5">
        <v>36.75</v>
      </c>
      <c r="M316" s="5">
        <v>14</v>
      </c>
      <c r="N316" s="6">
        <v>0.05</v>
      </c>
      <c r="O316" s="15">
        <f>Sales[[#This Row],[Quantity]]*Sales[[#This Row],[Unit Price]]*(1-Sales[[#This Row],[Discount Rate]])</f>
        <v>69.825000000000003</v>
      </c>
      <c r="P316" s="15">
        <f>Sales[[#This Row],[Unit Cost]]*Sales[[#This Row],[Quantity]]</f>
        <v>28</v>
      </c>
      <c r="Q316" s="15">
        <f>Sales[[#This Row],[Revenue]]-Sales[[#This Row],[Product cost]]</f>
        <v>41.825000000000003</v>
      </c>
      <c r="R316" s="21">
        <f>Sales[[#This Row],[Gross Profit]]/Sales[[#This Row],[Revenue]]</f>
        <v>0.59899749373433586</v>
      </c>
    </row>
    <row r="317" spans="1:18">
      <c r="A317" t="s">
        <v>489</v>
      </c>
      <c r="B317" s="4">
        <v>46142</v>
      </c>
      <c r="C317" t="s">
        <v>44</v>
      </c>
      <c r="D317" t="s">
        <v>45</v>
      </c>
      <c r="E317" t="s">
        <v>43</v>
      </c>
      <c r="F317" t="s">
        <v>173</v>
      </c>
      <c r="G317" t="s">
        <v>64</v>
      </c>
      <c r="H317" t="s">
        <v>65</v>
      </c>
      <c r="I317" t="s">
        <v>58</v>
      </c>
      <c r="J317" t="s">
        <v>152</v>
      </c>
      <c r="K317" s="17">
        <v>4</v>
      </c>
      <c r="L317" s="5">
        <v>20</v>
      </c>
      <c r="M317" s="5">
        <v>7</v>
      </c>
      <c r="N317" s="6">
        <v>0.15</v>
      </c>
      <c r="O317" s="15">
        <f>Sales[[#This Row],[Quantity]]*Sales[[#This Row],[Unit Price]]*(1-Sales[[#This Row],[Discount Rate]])</f>
        <v>68</v>
      </c>
      <c r="P317" s="15">
        <f>Sales[[#This Row],[Unit Cost]]*Sales[[#This Row],[Quantity]]</f>
        <v>28</v>
      </c>
      <c r="Q317" s="15">
        <f>Sales[[#This Row],[Revenue]]-Sales[[#This Row],[Product cost]]</f>
        <v>40</v>
      </c>
      <c r="R317" s="21">
        <f>Sales[[#This Row],[Gross Profit]]/Sales[[#This Row],[Revenue]]</f>
        <v>0.58823529411764708</v>
      </c>
    </row>
    <row r="318" spans="1:18">
      <c r="A318" t="s">
        <v>490</v>
      </c>
      <c r="B318" s="4">
        <v>46161</v>
      </c>
      <c r="C318" t="s">
        <v>44</v>
      </c>
      <c r="D318" t="s">
        <v>45</v>
      </c>
      <c r="E318" t="s">
        <v>43</v>
      </c>
      <c r="F318" t="s">
        <v>175</v>
      </c>
      <c r="G318" t="s">
        <v>86</v>
      </c>
      <c r="H318" t="s">
        <v>87</v>
      </c>
      <c r="I318" t="s">
        <v>63</v>
      </c>
      <c r="J318" t="s">
        <v>150</v>
      </c>
      <c r="K318" s="17">
        <v>3</v>
      </c>
      <c r="L318" s="5">
        <v>20</v>
      </c>
      <c r="M318" s="5">
        <v>7</v>
      </c>
      <c r="N318" s="6">
        <v>0</v>
      </c>
      <c r="O318" s="15">
        <f>Sales[[#This Row],[Quantity]]*Sales[[#This Row],[Unit Price]]*(1-Sales[[#This Row],[Discount Rate]])</f>
        <v>60</v>
      </c>
      <c r="P318" s="15">
        <f>Sales[[#This Row],[Unit Cost]]*Sales[[#This Row],[Quantity]]</f>
        <v>21</v>
      </c>
      <c r="Q318" s="15">
        <f>Sales[[#This Row],[Revenue]]-Sales[[#This Row],[Product cost]]</f>
        <v>39</v>
      </c>
      <c r="R318" s="21">
        <f>Sales[[#This Row],[Gross Profit]]/Sales[[#This Row],[Revenue]]</f>
        <v>0.65</v>
      </c>
    </row>
    <row r="319" spans="1:18">
      <c r="A319" t="s">
        <v>491</v>
      </c>
      <c r="B319" s="4">
        <v>46072</v>
      </c>
      <c r="C319" t="s">
        <v>41</v>
      </c>
      <c r="D319" t="s">
        <v>42</v>
      </c>
      <c r="E319" t="s">
        <v>43</v>
      </c>
      <c r="F319" t="s">
        <v>173</v>
      </c>
      <c r="G319" t="s">
        <v>59</v>
      </c>
      <c r="H319" t="s">
        <v>60</v>
      </c>
      <c r="I319" t="s">
        <v>58</v>
      </c>
      <c r="J319" t="s">
        <v>152</v>
      </c>
      <c r="K319" s="17">
        <v>2</v>
      </c>
      <c r="L319" s="5">
        <v>33.25</v>
      </c>
      <c r="M319" s="5">
        <v>14</v>
      </c>
      <c r="N319" s="6">
        <v>0.1</v>
      </c>
      <c r="O319" s="15">
        <f>Sales[[#This Row],[Quantity]]*Sales[[#This Row],[Unit Price]]*(1-Sales[[#This Row],[Discount Rate]])</f>
        <v>59.85</v>
      </c>
      <c r="P319" s="15">
        <f>Sales[[#This Row],[Unit Cost]]*Sales[[#This Row],[Quantity]]</f>
        <v>28</v>
      </c>
      <c r="Q319" s="15">
        <f>Sales[[#This Row],[Revenue]]-Sales[[#This Row],[Product cost]]</f>
        <v>31.85</v>
      </c>
      <c r="R319" s="21">
        <f>Sales[[#This Row],[Gross Profit]]/Sales[[#This Row],[Revenue]]</f>
        <v>0.53216374269005851</v>
      </c>
    </row>
    <row r="320" spans="1:18">
      <c r="A320" t="s">
        <v>492</v>
      </c>
      <c r="B320" s="4">
        <v>46194</v>
      </c>
      <c r="C320" t="s">
        <v>46</v>
      </c>
      <c r="D320" t="s">
        <v>47</v>
      </c>
      <c r="E320" t="s">
        <v>43</v>
      </c>
      <c r="F320" t="s">
        <v>173</v>
      </c>
      <c r="G320" t="s">
        <v>112</v>
      </c>
      <c r="H320" t="s">
        <v>113</v>
      </c>
      <c r="I320" t="s">
        <v>58</v>
      </c>
      <c r="J320" t="s">
        <v>151</v>
      </c>
      <c r="K320" s="17">
        <v>1</v>
      </c>
      <c r="L320" s="5">
        <v>57.75</v>
      </c>
      <c r="M320" s="5">
        <v>22</v>
      </c>
      <c r="N320" s="6">
        <v>0</v>
      </c>
      <c r="O320" s="15">
        <f>Sales[[#This Row],[Quantity]]*Sales[[#This Row],[Unit Price]]*(1-Sales[[#This Row],[Discount Rate]])</f>
        <v>57.75</v>
      </c>
      <c r="P320" s="15">
        <f>Sales[[#This Row],[Unit Cost]]*Sales[[#This Row],[Quantity]]</f>
        <v>22</v>
      </c>
      <c r="Q320" s="15">
        <f>Sales[[#This Row],[Revenue]]-Sales[[#This Row],[Product cost]]</f>
        <v>35.75</v>
      </c>
      <c r="R320" s="21">
        <f>Sales[[#This Row],[Gross Profit]]/Sales[[#This Row],[Revenue]]</f>
        <v>0.61904761904761907</v>
      </c>
    </row>
    <row r="321" spans="1:18">
      <c r="A321" t="s">
        <v>493</v>
      </c>
      <c r="B321" s="4">
        <v>46191</v>
      </c>
      <c r="C321" t="s">
        <v>44</v>
      </c>
      <c r="D321" t="s">
        <v>45</v>
      </c>
      <c r="E321" t="s">
        <v>43</v>
      </c>
      <c r="F321" t="s">
        <v>173</v>
      </c>
      <c r="G321" t="s">
        <v>78</v>
      </c>
      <c r="H321" t="s">
        <v>79</v>
      </c>
      <c r="I321" t="s">
        <v>58</v>
      </c>
      <c r="J321" t="s">
        <v>150</v>
      </c>
      <c r="K321" s="17">
        <v>3</v>
      </c>
      <c r="L321" s="5">
        <v>20</v>
      </c>
      <c r="M321" s="5">
        <v>7</v>
      </c>
      <c r="N321" s="6">
        <v>0.05</v>
      </c>
      <c r="O321" s="15">
        <f>Sales[[#This Row],[Quantity]]*Sales[[#This Row],[Unit Price]]*(1-Sales[[#This Row],[Discount Rate]])</f>
        <v>57</v>
      </c>
      <c r="P321" s="15">
        <f>Sales[[#This Row],[Unit Cost]]*Sales[[#This Row],[Quantity]]</f>
        <v>21</v>
      </c>
      <c r="Q321" s="15">
        <f>Sales[[#This Row],[Revenue]]-Sales[[#This Row],[Product cost]]</f>
        <v>36</v>
      </c>
      <c r="R321" s="21">
        <f>Sales[[#This Row],[Gross Profit]]/Sales[[#This Row],[Revenue]]</f>
        <v>0.63157894736842102</v>
      </c>
    </row>
    <row r="322" spans="1:18">
      <c r="A322" t="s">
        <v>494</v>
      </c>
      <c r="B322" s="4">
        <v>46041</v>
      </c>
      <c r="C322" t="s">
        <v>41</v>
      </c>
      <c r="D322" t="s">
        <v>42</v>
      </c>
      <c r="E322" t="s">
        <v>43</v>
      </c>
      <c r="F322" t="s">
        <v>171</v>
      </c>
      <c r="G322" t="s">
        <v>102</v>
      </c>
      <c r="H322" t="s">
        <v>103</v>
      </c>
      <c r="I322" t="s">
        <v>58</v>
      </c>
      <c r="J322" t="s">
        <v>152</v>
      </c>
      <c r="K322" s="17">
        <v>2</v>
      </c>
      <c r="L322" s="5">
        <v>33.25</v>
      </c>
      <c r="M322" s="5">
        <v>14</v>
      </c>
      <c r="N322" s="6">
        <v>0.15</v>
      </c>
      <c r="O322" s="15">
        <f>Sales[[#This Row],[Quantity]]*Sales[[#This Row],[Unit Price]]*(1-Sales[[#This Row],[Discount Rate]])</f>
        <v>56.524999999999999</v>
      </c>
      <c r="P322" s="15">
        <f>Sales[[#This Row],[Unit Cost]]*Sales[[#This Row],[Quantity]]</f>
        <v>28</v>
      </c>
      <c r="Q322" s="15">
        <f>Sales[[#This Row],[Revenue]]-Sales[[#This Row],[Product cost]]</f>
        <v>28.524999999999999</v>
      </c>
      <c r="R322" s="21">
        <f>Sales[[#This Row],[Gross Profit]]/Sales[[#This Row],[Revenue]]</f>
        <v>0.50464396284829716</v>
      </c>
    </row>
    <row r="323" spans="1:18">
      <c r="A323" t="s">
        <v>495</v>
      </c>
      <c r="B323" s="4">
        <v>46087</v>
      </c>
      <c r="C323" t="s">
        <v>46</v>
      </c>
      <c r="D323" t="s">
        <v>47</v>
      </c>
      <c r="E323" t="s">
        <v>43</v>
      </c>
      <c r="F323" t="s">
        <v>175</v>
      </c>
      <c r="G323" t="s">
        <v>66</v>
      </c>
      <c r="H323" t="s">
        <v>67</v>
      </c>
      <c r="I323" t="s">
        <v>58</v>
      </c>
      <c r="J323" t="s">
        <v>151</v>
      </c>
      <c r="K323" s="17">
        <v>1</v>
      </c>
      <c r="L323" s="5">
        <v>55</v>
      </c>
      <c r="M323" s="5">
        <v>22</v>
      </c>
      <c r="N323" s="6">
        <v>0</v>
      </c>
      <c r="O323" s="15">
        <f>Sales[[#This Row],[Quantity]]*Sales[[#This Row],[Unit Price]]*(1-Sales[[#This Row],[Discount Rate]])</f>
        <v>55</v>
      </c>
      <c r="P323" s="15">
        <f>Sales[[#This Row],[Unit Cost]]*Sales[[#This Row],[Quantity]]</f>
        <v>22</v>
      </c>
      <c r="Q323" s="15">
        <f>Sales[[#This Row],[Revenue]]-Sales[[#This Row],[Product cost]]</f>
        <v>33</v>
      </c>
      <c r="R323" s="21">
        <f>Sales[[#This Row],[Gross Profit]]/Sales[[#This Row],[Revenue]]</f>
        <v>0.6</v>
      </c>
    </row>
    <row r="324" spans="1:18">
      <c r="A324" t="s">
        <v>496</v>
      </c>
      <c r="B324" s="4">
        <v>46155</v>
      </c>
      <c r="C324" t="s">
        <v>46</v>
      </c>
      <c r="D324" t="s">
        <v>47</v>
      </c>
      <c r="E324" t="s">
        <v>43</v>
      </c>
      <c r="F324" t="s">
        <v>178</v>
      </c>
      <c r="G324" t="s">
        <v>110</v>
      </c>
      <c r="H324" t="s">
        <v>111</v>
      </c>
      <c r="I324" t="s">
        <v>63</v>
      </c>
      <c r="J324" t="s">
        <v>152</v>
      </c>
      <c r="K324" s="17">
        <v>1</v>
      </c>
      <c r="L324" s="5">
        <v>55</v>
      </c>
      <c r="M324" s="5">
        <v>22</v>
      </c>
      <c r="N324" s="6">
        <v>0</v>
      </c>
      <c r="O324" s="15">
        <f>Sales[[#This Row],[Quantity]]*Sales[[#This Row],[Unit Price]]*(1-Sales[[#This Row],[Discount Rate]])</f>
        <v>55</v>
      </c>
      <c r="P324" s="15">
        <f>Sales[[#This Row],[Unit Cost]]*Sales[[#This Row],[Quantity]]</f>
        <v>22</v>
      </c>
      <c r="Q324" s="15">
        <f>Sales[[#This Row],[Revenue]]-Sales[[#This Row],[Product cost]]</f>
        <v>33</v>
      </c>
      <c r="R324" s="21">
        <f>Sales[[#This Row],[Gross Profit]]/Sales[[#This Row],[Revenue]]</f>
        <v>0.6</v>
      </c>
    </row>
    <row r="325" spans="1:18">
      <c r="A325" t="s">
        <v>497</v>
      </c>
      <c r="B325" s="4">
        <v>46186</v>
      </c>
      <c r="C325" t="s">
        <v>46</v>
      </c>
      <c r="D325" t="s">
        <v>47</v>
      </c>
      <c r="E325" t="s">
        <v>43</v>
      </c>
      <c r="F325" t="s">
        <v>173</v>
      </c>
      <c r="G325" t="s">
        <v>88</v>
      </c>
      <c r="H325" t="s">
        <v>89</v>
      </c>
      <c r="I325" t="s">
        <v>58</v>
      </c>
      <c r="J325" t="s">
        <v>150</v>
      </c>
      <c r="K325" s="17">
        <v>1</v>
      </c>
      <c r="L325" s="5">
        <v>55</v>
      </c>
      <c r="M325" s="5">
        <v>22</v>
      </c>
      <c r="N325" s="6">
        <v>0</v>
      </c>
      <c r="O325" s="15">
        <f>Sales[[#This Row],[Quantity]]*Sales[[#This Row],[Unit Price]]*(1-Sales[[#This Row],[Discount Rate]])</f>
        <v>55</v>
      </c>
      <c r="P325" s="15">
        <f>Sales[[#This Row],[Unit Cost]]*Sales[[#This Row],[Quantity]]</f>
        <v>22</v>
      </c>
      <c r="Q325" s="15">
        <f>Sales[[#This Row],[Revenue]]-Sales[[#This Row],[Product cost]]</f>
        <v>33</v>
      </c>
      <c r="R325" s="21">
        <f>Sales[[#This Row],[Gross Profit]]/Sales[[#This Row],[Revenue]]</f>
        <v>0.6</v>
      </c>
    </row>
    <row r="326" spans="1:18">
      <c r="A326" t="s">
        <v>498</v>
      </c>
      <c r="B326" s="4">
        <v>46076</v>
      </c>
      <c r="C326" t="s">
        <v>44</v>
      </c>
      <c r="D326" t="s">
        <v>45</v>
      </c>
      <c r="E326" t="s">
        <v>43</v>
      </c>
      <c r="F326" t="s">
        <v>178</v>
      </c>
      <c r="G326" t="s">
        <v>70</v>
      </c>
      <c r="H326" t="s">
        <v>71</v>
      </c>
      <c r="I326" t="s">
        <v>58</v>
      </c>
      <c r="J326" t="s">
        <v>153</v>
      </c>
      <c r="K326" s="17">
        <v>3</v>
      </c>
      <c r="L326" s="5">
        <v>19</v>
      </c>
      <c r="M326" s="5">
        <v>7</v>
      </c>
      <c r="N326" s="6">
        <v>0.05</v>
      </c>
      <c r="O326" s="15">
        <f>Sales[[#This Row],[Quantity]]*Sales[[#This Row],[Unit Price]]*(1-Sales[[#This Row],[Discount Rate]])</f>
        <v>54.15</v>
      </c>
      <c r="P326" s="15">
        <f>Sales[[#This Row],[Unit Cost]]*Sales[[#This Row],[Quantity]]</f>
        <v>21</v>
      </c>
      <c r="Q326" s="15">
        <f>Sales[[#This Row],[Revenue]]-Sales[[#This Row],[Product cost]]</f>
        <v>33.15</v>
      </c>
      <c r="R326" s="21">
        <f>Sales[[#This Row],[Gross Profit]]/Sales[[#This Row],[Revenue]]</f>
        <v>0.61218836565096957</v>
      </c>
    </row>
    <row r="327" spans="1:18">
      <c r="A327" t="s">
        <v>499</v>
      </c>
      <c r="B327" s="4">
        <v>46141</v>
      </c>
      <c r="C327" t="s">
        <v>44</v>
      </c>
      <c r="D327" t="s">
        <v>45</v>
      </c>
      <c r="E327" t="s">
        <v>43</v>
      </c>
      <c r="F327" t="s">
        <v>178</v>
      </c>
      <c r="G327" t="s">
        <v>64</v>
      </c>
      <c r="H327" t="s">
        <v>65</v>
      </c>
      <c r="I327" t="s">
        <v>58</v>
      </c>
      <c r="J327" t="s">
        <v>151</v>
      </c>
      <c r="K327" s="17">
        <v>3</v>
      </c>
      <c r="L327" s="5">
        <v>19</v>
      </c>
      <c r="M327" s="5">
        <v>7</v>
      </c>
      <c r="N327" s="6">
        <v>0.05</v>
      </c>
      <c r="O327" s="15">
        <f>Sales[[#This Row],[Quantity]]*Sales[[#This Row],[Unit Price]]*(1-Sales[[#This Row],[Discount Rate]])</f>
        <v>54.15</v>
      </c>
      <c r="P327" s="15">
        <f>Sales[[#This Row],[Unit Cost]]*Sales[[#This Row],[Quantity]]</f>
        <v>21</v>
      </c>
      <c r="Q327" s="15">
        <f>Sales[[#This Row],[Revenue]]-Sales[[#This Row],[Product cost]]</f>
        <v>33.15</v>
      </c>
      <c r="R327" s="21">
        <f>Sales[[#This Row],[Gross Profit]]/Sales[[#This Row],[Revenue]]</f>
        <v>0.61218836565096957</v>
      </c>
    </row>
    <row r="328" spans="1:18">
      <c r="A328" t="s">
        <v>500</v>
      </c>
      <c r="B328" s="4">
        <v>46183</v>
      </c>
      <c r="C328" t="s">
        <v>46</v>
      </c>
      <c r="D328" t="s">
        <v>47</v>
      </c>
      <c r="E328" t="s">
        <v>43</v>
      </c>
      <c r="F328" t="s">
        <v>171</v>
      </c>
      <c r="G328" t="s">
        <v>116</v>
      </c>
      <c r="H328" t="s">
        <v>117</v>
      </c>
      <c r="I328" t="s">
        <v>63</v>
      </c>
      <c r="J328" t="s">
        <v>151</v>
      </c>
      <c r="K328" s="17">
        <v>1</v>
      </c>
      <c r="L328" s="5">
        <v>55</v>
      </c>
      <c r="M328" s="5">
        <v>22</v>
      </c>
      <c r="N328" s="6">
        <v>0.05</v>
      </c>
      <c r="O328" s="15">
        <f>Sales[[#This Row],[Quantity]]*Sales[[#This Row],[Unit Price]]*(1-Sales[[#This Row],[Discount Rate]])</f>
        <v>52.25</v>
      </c>
      <c r="P328" s="15">
        <f>Sales[[#This Row],[Unit Cost]]*Sales[[#This Row],[Quantity]]</f>
        <v>22</v>
      </c>
      <c r="Q328" s="15">
        <f>Sales[[#This Row],[Revenue]]-Sales[[#This Row],[Product cost]]</f>
        <v>30.25</v>
      </c>
      <c r="R328" s="21">
        <f>Sales[[#This Row],[Gross Profit]]/Sales[[#This Row],[Revenue]]</f>
        <v>0.57894736842105265</v>
      </c>
    </row>
    <row r="329" spans="1:18">
      <c r="A329" t="s">
        <v>501</v>
      </c>
      <c r="B329" s="4">
        <v>46184</v>
      </c>
      <c r="C329" t="s">
        <v>46</v>
      </c>
      <c r="D329" t="s">
        <v>47</v>
      </c>
      <c r="E329" t="s">
        <v>43</v>
      </c>
      <c r="F329" t="s">
        <v>173</v>
      </c>
      <c r="G329" t="s">
        <v>90</v>
      </c>
      <c r="H329" t="s">
        <v>91</v>
      </c>
      <c r="I329" t="s">
        <v>58</v>
      </c>
      <c r="J329" t="s">
        <v>152</v>
      </c>
      <c r="K329" s="17">
        <v>1</v>
      </c>
      <c r="L329" s="5">
        <v>52.25</v>
      </c>
      <c r="M329" s="5">
        <v>22</v>
      </c>
      <c r="N329" s="6">
        <v>0.05</v>
      </c>
      <c r="O329" s="15">
        <f>Sales[[#This Row],[Quantity]]*Sales[[#This Row],[Unit Price]]*(1-Sales[[#This Row],[Discount Rate]])</f>
        <v>49.637499999999996</v>
      </c>
      <c r="P329" s="15">
        <f>Sales[[#This Row],[Unit Cost]]*Sales[[#This Row],[Quantity]]</f>
        <v>22</v>
      </c>
      <c r="Q329" s="15">
        <f>Sales[[#This Row],[Revenue]]-Sales[[#This Row],[Product cost]]</f>
        <v>27.637499999999996</v>
      </c>
      <c r="R329" s="21">
        <f>Sales[[#This Row],[Gross Profit]]/Sales[[#This Row],[Revenue]]</f>
        <v>0.55678670360110805</v>
      </c>
    </row>
    <row r="330" spans="1:18">
      <c r="A330" t="s">
        <v>502</v>
      </c>
      <c r="B330" s="4">
        <v>46145</v>
      </c>
      <c r="C330" t="s">
        <v>46</v>
      </c>
      <c r="D330" t="s">
        <v>47</v>
      </c>
      <c r="E330" t="s">
        <v>43</v>
      </c>
      <c r="F330" t="s">
        <v>178</v>
      </c>
      <c r="G330" t="s">
        <v>64</v>
      </c>
      <c r="H330" t="s">
        <v>65</v>
      </c>
      <c r="I330" t="s">
        <v>58</v>
      </c>
      <c r="J330" t="s">
        <v>152</v>
      </c>
      <c r="K330" s="17">
        <v>1</v>
      </c>
      <c r="L330" s="5">
        <v>55</v>
      </c>
      <c r="M330" s="5">
        <v>22</v>
      </c>
      <c r="N330" s="6">
        <v>0.1</v>
      </c>
      <c r="O330" s="15">
        <f>Sales[[#This Row],[Quantity]]*Sales[[#This Row],[Unit Price]]*(1-Sales[[#This Row],[Discount Rate]])</f>
        <v>49.5</v>
      </c>
      <c r="P330" s="15">
        <f>Sales[[#This Row],[Unit Cost]]*Sales[[#This Row],[Quantity]]</f>
        <v>22</v>
      </c>
      <c r="Q330" s="15">
        <f>Sales[[#This Row],[Revenue]]-Sales[[#This Row],[Product cost]]</f>
        <v>27.5</v>
      </c>
      <c r="R330" s="21">
        <f>Sales[[#This Row],[Gross Profit]]/Sales[[#This Row],[Revenue]]</f>
        <v>0.55555555555555558</v>
      </c>
    </row>
    <row r="331" spans="1:18">
      <c r="A331" t="s">
        <v>503</v>
      </c>
      <c r="B331" s="4">
        <v>46036</v>
      </c>
      <c r="C331" t="s">
        <v>46</v>
      </c>
      <c r="D331" t="s">
        <v>47</v>
      </c>
      <c r="E331" t="s">
        <v>43</v>
      </c>
      <c r="F331" t="s">
        <v>178</v>
      </c>
      <c r="G331" t="s">
        <v>66</v>
      </c>
      <c r="H331" t="s">
        <v>67</v>
      </c>
      <c r="I331" t="s">
        <v>58</v>
      </c>
      <c r="J331" t="s">
        <v>151</v>
      </c>
      <c r="K331" s="17">
        <v>1</v>
      </c>
      <c r="L331" s="5">
        <v>55</v>
      </c>
      <c r="M331" s="5">
        <v>22</v>
      </c>
      <c r="N331" s="6">
        <v>0.1</v>
      </c>
      <c r="O331" s="15">
        <f>Sales[[#This Row],[Quantity]]*Sales[[#This Row],[Unit Price]]*(1-Sales[[#This Row],[Discount Rate]])</f>
        <v>49.5</v>
      </c>
      <c r="P331" s="15">
        <f>Sales[[#This Row],[Unit Cost]]*Sales[[#This Row],[Quantity]]</f>
        <v>22</v>
      </c>
      <c r="Q331" s="15">
        <f>Sales[[#This Row],[Revenue]]-Sales[[#This Row],[Product cost]]</f>
        <v>27.5</v>
      </c>
      <c r="R331" s="21">
        <f>Sales[[#This Row],[Gross Profit]]/Sales[[#This Row],[Revenue]]</f>
        <v>0.55555555555555558</v>
      </c>
    </row>
    <row r="332" spans="1:18">
      <c r="A332" t="s">
        <v>504</v>
      </c>
      <c r="B332" s="4">
        <v>46156</v>
      </c>
      <c r="C332" t="s">
        <v>46</v>
      </c>
      <c r="D332" t="s">
        <v>47</v>
      </c>
      <c r="E332" t="s">
        <v>43</v>
      </c>
      <c r="F332" t="s">
        <v>178</v>
      </c>
      <c r="G332" t="s">
        <v>80</v>
      </c>
      <c r="H332" t="s">
        <v>81</v>
      </c>
      <c r="I332" t="s">
        <v>63</v>
      </c>
      <c r="J332" t="s">
        <v>153</v>
      </c>
      <c r="K332" s="17">
        <v>1</v>
      </c>
      <c r="L332" s="5">
        <v>57.75</v>
      </c>
      <c r="M332" s="5">
        <v>22</v>
      </c>
      <c r="N332" s="6">
        <v>0.15</v>
      </c>
      <c r="O332" s="15">
        <f>Sales[[#This Row],[Quantity]]*Sales[[#This Row],[Unit Price]]*(1-Sales[[#This Row],[Discount Rate]])</f>
        <v>49.087499999999999</v>
      </c>
      <c r="P332" s="15">
        <f>Sales[[#This Row],[Unit Cost]]*Sales[[#This Row],[Quantity]]</f>
        <v>22</v>
      </c>
      <c r="Q332" s="15">
        <f>Sales[[#This Row],[Revenue]]-Sales[[#This Row],[Product cost]]</f>
        <v>27.087499999999999</v>
      </c>
      <c r="R332" s="21">
        <f>Sales[[#This Row],[Gross Profit]]/Sales[[#This Row],[Revenue]]</f>
        <v>0.55182072829131656</v>
      </c>
    </row>
    <row r="333" spans="1:18">
      <c r="A333" t="s">
        <v>505</v>
      </c>
      <c r="B333" s="4">
        <v>46094</v>
      </c>
      <c r="C333" t="s">
        <v>46</v>
      </c>
      <c r="D333" t="s">
        <v>47</v>
      </c>
      <c r="E333" t="s">
        <v>43</v>
      </c>
      <c r="F333" t="s">
        <v>171</v>
      </c>
      <c r="G333" t="s">
        <v>128</v>
      </c>
      <c r="H333" t="s">
        <v>129</v>
      </c>
      <c r="I333" t="s">
        <v>63</v>
      </c>
      <c r="J333" t="s">
        <v>151</v>
      </c>
      <c r="K333" s="17">
        <v>1</v>
      </c>
      <c r="L333" s="5">
        <v>52.25</v>
      </c>
      <c r="M333" s="5">
        <v>22</v>
      </c>
      <c r="N333" s="6">
        <v>0.1</v>
      </c>
      <c r="O333" s="15">
        <f>Sales[[#This Row],[Quantity]]*Sales[[#This Row],[Unit Price]]*(1-Sales[[#This Row],[Discount Rate]])</f>
        <v>47.024999999999999</v>
      </c>
      <c r="P333" s="15">
        <f>Sales[[#This Row],[Unit Cost]]*Sales[[#This Row],[Quantity]]</f>
        <v>22</v>
      </c>
      <c r="Q333" s="15">
        <f>Sales[[#This Row],[Revenue]]-Sales[[#This Row],[Product cost]]</f>
        <v>25.024999999999999</v>
      </c>
      <c r="R333" s="21">
        <f>Sales[[#This Row],[Gross Profit]]/Sales[[#This Row],[Revenue]]</f>
        <v>0.53216374269005851</v>
      </c>
    </row>
    <row r="334" spans="1:18">
      <c r="A334" t="s">
        <v>506</v>
      </c>
      <c r="B334" s="4">
        <v>46040</v>
      </c>
      <c r="C334" t="s">
        <v>44</v>
      </c>
      <c r="D334" t="s">
        <v>45</v>
      </c>
      <c r="E334" t="s">
        <v>43</v>
      </c>
      <c r="F334" t="s">
        <v>175</v>
      </c>
      <c r="G334" t="s">
        <v>88</v>
      </c>
      <c r="H334" t="s">
        <v>89</v>
      </c>
      <c r="I334" t="s">
        <v>58</v>
      </c>
      <c r="J334" t="s">
        <v>150</v>
      </c>
      <c r="K334" s="17">
        <v>2</v>
      </c>
      <c r="L334" s="5">
        <v>20</v>
      </c>
      <c r="M334" s="5">
        <v>7</v>
      </c>
      <c r="N334" s="6">
        <v>0.05</v>
      </c>
      <c r="O334" s="15">
        <f>Sales[[#This Row],[Quantity]]*Sales[[#This Row],[Unit Price]]*(1-Sales[[#This Row],[Discount Rate]])</f>
        <v>38</v>
      </c>
      <c r="P334" s="15">
        <f>Sales[[#This Row],[Unit Cost]]*Sales[[#This Row],[Quantity]]</f>
        <v>14</v>
      </c>
      <c r="Q334" s="15">
        <f>Sales[[#This Row],[Revenue]]-Sales[[#This Row],[Product cost]]</f>
        <v>24</v>
      </c>
      <c r="R334" s="21">
        <f>Sales[[#This Row],[Gross Profit]]/Sales[[#This Row],[Revenue]]</f>
        <v>0.63157894736842102</v>
      </c>
    </row>
    <row r="335" spans="1:18">
      <c r="A335" t="s">
        <v>507</v>
      </c>
      <c r="B335" s="4">
        <v>46045</v>
      </c>
      <c r="C335" t="s">
        <v>44</v>
      </c>
      <c r="D335" t="s">
        <v>45</v>
      </c>
      <c r="E335" t="s">
        <v>43</v>
      </c>
      <c r="F335" t="s">
        <v>175</v>
      </c>
      <c r="G335" t="s">
        <v>106</v>
      </c>
      <c r="H335" t="s">
        <v>107</v>
      </c>
      <c r="I335" t="s">
        <v>58</v>
      </c>
      <c r="J335" t="s">
        <v>150</v>
      </c>
      <c r="K335" s="17">
        <v>2</v>
      </c>
      <c r="L335" s="5">
        <v>19</v>
      </c>
      <c r="M335" s="5">
        <v>7</v>
      </c>
      <c r="N335" s="6">
        <v>0</v>
      </c>
      <c r="O335" s="15">
        <f>Sales[[#This Row],[Quantity]]*Sales[[#This Row],[Unit Price]]*(1-Sales[[#This Row],[Discount Rate]])</f>
        <v>38</v>
      </c>
      <c r="P335" s="15">
        <f>Sales[[#This Row],[Unit Cost]]*Sales[[#This Row],[Quantity]]</f>
        <v>14</v>
      </c>
      <c r="Q335" s="15">
        <f>Sales[[#This Row],[Revenue]]-Sales[[#This Row],[Product cost]]</f>
        <v>24</v>
      </c>
      <c r="R335" s="21">
        <f>Sales[[#This Row],[Gross Profit]]/Sales[[#This Row],[Revenue]]</f>
        <v>0.63157894736842102</v>
      </c>
    </row>
    <row r="336" spans="1:18">
      <c r="A336" t="s">
        <v>508</v>
      </c>
      <c r="B336" s="4">
        <v>46121</v>
      </c>
      <c r="C336" t="s">
        <v>44</v>
      </c>
      <c r="D336" t="s">
        <v>45</v>
      </c>
      <c r="E336" t="s">
        <v>43</v>
      </c>
      <c r="F336" t="s">
        <v>175</v>
      </c>
      <c r="G336" t="s">
        <v>114</v>
      </c>
      <c r="H336" t="s">
        <v>115</v>
      </c>
      <c r="I336" t="s">
        <v>58</v>
      </c>
      <c r="J336" t="s">
        <v>153</v>
      </c>
      <c r="K336" s="17">
        <v>2</v>
      </c>
      <c r="L336" s="5">
        <v>20</v>
      </c>
      <c r="M336" s="5">
        <v>7</v>
      </c>
      <c r="N336" s="6">
        <v>0.05</v>
      </c>
      <c r="O336" s="15">
        <f>Sales[[#This Row],[Quantity]]*Sales[[#This Row],[Unit Price]]*(1-Sales[[#This Row],[Discount Rate]])</f>
        <v>38</v>
      </c>
      <c r="P336" s="15">
        <f>Sales[[#This Row],[Unit Cost]]*Sales[[#This Row],[Quantity]]</f>
        <v>14</v>
      </c>
      <c r="Q336" s="15">
        <f>Sales[[#This Row],[Revenue]]-Sales[[#This Row],[Product cost]]</f>
        <v>24</v>
      </c>
      <c r="R336" s="21">
        <f>Sales[[#This Row],[Gross Profit]]/Sales[[#This Row],[Revenue]]</f>
        <v>0.63157894736842102</v>
      </c>
    </row>
    <row r="337" spans="1:18">
      <c r="A337" t="s">
        <v>509</v>
      </c>
      <c r="B337" s="4">
        <v>46063</v>
      </c>
      <c r="C337" t="s">
        <v>44</v>
      </c>
      <c r="D337" t="s">
        <v>45</v>
      </c>
      <c r="E337" t="s">
        <v>43</v>
      </c>
      <c r="F337" t="s">
        <v>173</v>
      </c>
      <c r="G337" t="s">
        <v>128</v>
      </c>
      <c r="H337" t="s">
        <v>129</v>
      </c>
      <c r="I337" t="s">
        <v>63</v>
      </c>
      <c r="J337" t="s">
        <v>153</v>
      </c>
      <c r="K337" s="17">
        <v>2</v>
      </c>
      <c r="L337" s="5">
        <v>20</v>
      </c>
      <c r="M337" s="5">
        <v>7</v>
      </c>
      <c r="N337" s="6">
        <v>0.05</v>
      </c>
      <c r="O337" s="15">
        <f>Sales[[#This Row],[Quantity]]*Sales[[#This Row],[Unit Price]]*(1-Sales[[#This Row],[Discount Rate]])</f>
        <v>38</v>
      </c>
      <c r="P337" s="15">
        <f>Sales[[#This Row],[Unit Cost]]*Sales[[#This Row],[Quantity]]</f>
        <v>14</v>
      </c>
      <c r="Q337" s="15">
        <f>Sales[[#This Row],[Revenue]]-Sales[[#This Row],[Product cost]]</f>
        <v>24</v>
      </c>
      <c r="R337" s="21">
        <f>Sales[[#This Row],[Gross Profit]]/Sales[[#This Row],[Revenue]]</f>
        <v>0.63157894736842102</v>
      </c>
    </row>
    <row r="338" spans="1:18">
      <c r="A338" t="s">
        <v>510</v>
      </c>
      <c r="B338" s="4">
        <v>46072</v>
      </c>
      <c r="C338" t="s">
        <v>41</v>
      </c>
      <c r="D338" t="s">
        <v>42</v>
      </c>
      <c r="E338" t="s">
        <v>43</v>
      </c>
      <c r="F338" t="s">
        <v>175</v>
      </c>
      <c r="G338" t="s">
        <v>106</v>
      </c>
      <c r="H338" t="s">
        <v>107</v>
      </c>
      <c r="I338" t="s">
        <v>58</v>
      </c>
      <c r="J338" t="s">
        <v>152</v>
      </c>
      <c r="K338" s="17">
        <v>1</v>
      </c>
      <c r="L338" s="5">
        <v>36.75</v>
      </c>
      <c r="M338" s="5">
        <v>14</v>
      </c>
      <c r="N338" s="6">
        <v>0</v>
      </c>
      <c r="O338" s="15">
        <f>Sales[[#This Row],[Quantity]]*Sales[[#This Row],[Unit Price]]*(1-Sales[[#This Row],[Discount Rate]])</f>
        <v>36.75</v>
      </c>
      <c r="P338" s="15">
        <f>Sales[[#This Row],[Unit Cost]]*Sales[[#This Row],[Quantity]]</f>
        <v>14</v>
      </c>
      <c r="Q338" s="15">
        <f>Sales[[#This Row],[Revenue]]-Sales[[#This Row],[Product cost]]</f>
        <v>22.75</v>
      </c>
      <c r="R338" s="21">
        <f>Sales[[#This Row],[Gross Profit]]/Sales[[#This Row],[Revenue]]</f>
        <v>0.61904761904761907</v>
      </c>
    </row>
    <row r="339" spans="1:18">
      <c r="A339" t="s">
        <v>511</v>
      </c>
      <c r="B339" s="4">
        <v>46034</v>
      </c>
      <c r="C339" t="s">
        <v>44</v>
      </c>
      <c r="D339" t="s">
        <v>45</v>
      </c>
      <c r="E339" t="s">
        <v>43</v>
      </c>
      <c r="F339" t="s">
        <v>171</v>
      </c>
      <c r="G339" t="s">
        <v>126</v>
      </c>
      <c r="H339" t="s">
        <v>127</v>
      </c>
      <c r="I339" t="s">
        <v>58</v>
      </c>
      <c r="J339" t="s">
        <v>151</v>
      </c>
      <c r="K339" s="17">
        <v>2</v>
      </c>
      <c r="L339" s="5">
        <v>21</v>
      </c>
      <c r="M339" s="5">
        <v>7</v>
      </c>
      <c r="N339" s="6">
        <v>0.15</v>
      </c>
      <c r="O339" s="15">
        <f>Sales[[#This Row],[Quantity]]*Sales[[#This Row],[Unit Price]]*(1-Sales[[#This Row],[Discount Rate]])</f>
        <v>35.699999999999996</v>
      </c>
      <c r="P339" s="15">
        <f>Sales[[#This Row],[Unit Cost]]*Sales[[#This Row],[Quantity]]</f>
        <v>14</v>
      </c>
      <c r="Q339" s="15">
        <f>Sales[[#This Row],[Revenue]]-Sales[[#This Row],[Product cost]]</f>
        <v>21.699999999999996</v>
      </c>
      <c r="R339" s="21">
        <f>Sales[[#This Row],[Gross Profit]]/Sales[[#This Row],[Revenue]]</f>
        <v>0.60784313725490191</v>
      </c>
    </row>
    <row r="340" spans="1:18">
      <c r="A340" t="s">
        <v>512</v>
      </c>
      <c r="B340" s="4">
        <v>46105</v>
      </c>
      <c r="C340" t="s">
        <v>44</v>
      </c>
      <c r="D340" t="s">
        <v>45</v>
      </c>
      <c r="E340" t="s">
        <v>43</v>
      </c>
      <c r="F340" t="s">
        <v>178</v>
      </c>
      <c r="G340" t="s">
        <v>100</v>
      </c>
      <c r="H340" t="s">
        <v>101</v>
      </c>
      <c r="I340" t="s">
        <v>58</v>
      </c>
      <c r="J340" t="s">
        <v>150</v>
      </c>
      <c r="K340" s="17">
        <v>2</v>
      </c>
      <c r="L340" s="5">
        <v>21</v>
      </c>
      <c r="M340" s="5">
        <v>7</v>
      </c>
      <c r="N340" s="6">
        <v>0.15</v>
      </c>
      <c r="O340" s="15">
        <f>Sales[[#This Row],[Quantity]]*Sales[[#This Row],[Unit Price]]*(1-Sales[[#This Row],[Discount Rate]])</f>
        <v>35.699999999999996</v>
      </c>
      <c r="P340" s="15">
        <f>Sales[[#This Row],[Unit Cost]]*Sales[[#This Row],[Quantity]]</f>
        <v>14</v>
      </c>
      <c r="Q340" s="15">
        <f>Sales[[#This Row],[Revenue]]-Sales[[#This Row],[Product cost]]</f>
        <v>21.699999999999996</v>
      </c>
      <c r="R340" s="21">
        <f>Sales[[#This Row],[Gross Profit]]/Sales[[#This Row],[Revenue]]</f>
        <v>0.60784313725490191</v>
      </c>
    </row>
    <row r="341" spans="1:18">
      <c r="A341" t="s">
        <v>513</v>
      </c>
      <c r="B341" s="4">
        <v>46054</v>
      </c>
      <c r="C341" t="s">
        <v>44</v>
      </c>
      <c r="D341" t="s">
        <v>45</v>
      </c>
      <c r="E341" t="s">
        <v>43</v>
      </c>
      <c r="F341" t="s">
        <v>175</v>
      </c>
      <c r="G341" t="s">
        <v>88</v>
      </c>
      <c r="H341" t="s">
        <v>89</v>
      </c>
      <c r="I341" t="s">
        <v>58</v>
      </c>
      <c r="J341" t="s">
        <v>150</v>
      </c>
      <c r="K341" s="17">
        <v>2</v>
      </c>
      <c r="L341" s="5">
        <v>21</v>
      </c>
      <c r="M341" s="5">
        <v>7</v>
      </c>
      <c r="N341" s="6">
        <v>0.15</v>
      </c>
      <c r="O341" s="15">
        <f>Sales[[#This Row],[Quantity]]*Sales[[#This Row],[Unit Price]]*(1-Sales[[#This Row],[Discount Rate]])</f>
        <v>35.699999999999996</v>
      </c>
      <c r="P341" s="15">
        <f>Sales[[#This Row],[Unit Cost]]*Sales[[#This Row],[Quantity]]</f>
        <v>14</v>
      </c>
      <c r="Q341" s="15">
        <f>Sales[[#This Row],[Revenue]]-Sales[[#This Row],[Product cost]]</f>
        <v>21.699999999999996</v>
      </c>
      <c r="R341" s="21">
        <f>Sales[[#This Row],[Gross Profit]]/Sales[[#This Row],[Revenue]]</f>
        <v>0.60784313725490191</v>
      </c>
    </row>
    <row r="342" spans="1:18">
      <c r="A342" t="s">
        <v>514</v>
      </c>
      <c r="B342" s="4">
        <v>46090</v>
      </c>
      <c r="C342" t="s">
        <v>41</v>
      </c>
      <c r="D342" t="s">
        <v>42</v>
      </c>
      <c r="E342" t="s">
        <v>43</v>
      </c>
      <c r="F342" t="s">
        <v>173</v>
      </c>
      <c r="G342" t="s">
        <v>126</v>
      </c>
      <c r="H342" t="s">
        <v>127</v>
      </c>
      <c r="I342" t="s">
        <v>58</v>
      </c>
      <c r="J342" t="s">
        <v>153</v>
      </c>
      <c r="K342" s="17">
        <v>1</v>
      </c>
      <c r="L342" s="5">
        <v>35</v>
      </c>
      <c r="M342" s="5">
        <v>14</v>
      </c>
      <c r="N342" s="6">
        <v>0</v>
      </c>
      <c r="O342" s="15">
        <f>Sales[[#This Row],[Quantity]]*Sales[[#This Row],[Unit Price]]*(1-Sales[[#This Row],[Discount Rate]])</f>
        <v>35</v>
      </c>
      <c r="P342" s="15">
        <f>Sales[[#This Row],[Unit Cost]]*Sales[[#This Row],[Quantity]]</f>
        <v>14</v>
      </c>
      <c r="Q342" s="15">
        <f>Sales[[#This Row],[Revenue]]-Sales[[#This Row],[Product cost]]</f>
        <v>21</v>
      </c>
      <c r="R342" s="21">
        <f>Sales[[#This Row],[Gross Profit]]/Sales[[#This Row],[Revenue]]</f>
        <v>0.6</v>
      </c>
    </row>
    <row r="343" spans="1:18">
      <c r="A343" t="s">
        <v>515</v>
      </c>
      <c r="B343" s="4">
        <v>46087</v>
      </c>
      <c r="C343" t="s">
        <v>41</v>
      </c>
      <c r="D343" t="s">
        <v>42</v>
      </c>
      <c r="E343" t="s">
        <v>43</v>
      </c>
      <c r="F343" t="s">
        <v>178</v>
      </c>
      <c r="G343" t="s">
        <v>108</v>
      </c>
      <c r="H343" t="s">
        <v>109</v>
      </c>
      <c r="I343" t="s">
        <v>58</v>
      </c>
      <c r="J343" t="s">
        <v>151</v>
      </c>
      <c r="K343" s="17">
        <v>1</v>
      </c>
      <c r="L343" s="5">
        <v>36.75</v>
      </c>
      <c r="M343" s="5">
        <v>14</v>
      </c>
      <c r="N343" s="6">
        <v>0.05</v>
      </c>
      <c r="O343" s="15">
        <f>Sales[[#This Row],[Quantity]]*Sales[[#This Row],[Unit Price]]*(1-Sales[[#This Row],[Discount Rate]])</f>
        <v>34.912500000000001</v>
      </c>
      <c r="P343" s="15">
        <f>Sales[[#This Row],[Unit Cost]]*Sales[[#This Row],[Quantity]]</f>
        <v>14</v>
      </c>
      <c r="Q343" s="15">
        <f>Sales[[#This Row],[Revenue]]-Sales[[#This Row],[Product cost]]</f>
        <v>20.912500000000001</v>
      </c>
      <c r="R343" s="21">
        <f>Sales[[#This Row],[Gross Profit]]/Sales[[#This Row],[Revenue]]</f>
        <v>0.59899749373433586</v>
      </c>
    </row>
    <row r="344" spans="1:18">
      <c r="A344" t="s">
        <v>516</v>
      </c>
      <c r="B344" s="4">
        <v>46025</v>
      </c>
      <c r="C344" t="s">
        <v>44</v>
      </c>
      <c r="D344" t="s">
        <v>45</v>
      </c>
      <c r="E344" t="s">
        <v>43</v>
      </c>
      <c r="F344" t="s">
        <v>173</v>
      </c>
      <c r="G344" t="s">
        <v>130</v>
      </c>
      <c r="H344" t="s">
        <v>131</v>
      </c>
      <c r="I344" t="s">
        <v>58</v>
      </c>
      <c r="J344" t="s">
        <v>150</v>
      </c>
      <c r="K344" s="17">
        <v>2</v>
      </c>
      <c r="L344" s="5">
        <v>19</v>
      </c>
      <c r="M344" s="5">
        <v>7</v>
      </c>
      <c r="N344" s="6">
        <v>0.15</v>
      </c>
      <c r="O344" s="15">
        <f>Sales[[#This Row],[Quantity]]*Sales[[#This Row],[Unit Price]]*(1-Sales[[#This Row],[Discount Rate]])</f>
        <v>32.299999999999997</v>
      </c>
      <c r="P344" s="15">
        <f>Sales[[#This Row],[Unit Cost]]*Sales[[#This Row],[Quantity]]</f>
        <v>14</v>
      </c>
      <c r="Q344" s="15">
        <f>Sales[[#This Row],[Revenue]]-Sales[[#This Row],[Product cost]]</f>
        <v>18.299999999999997</v>
      </c>
      <c r="R344" s="21">
        <f>Sales[[#This Row],[Gross Profit]]/Sales[[#This Row],[Revenue]]</f>
        <v>0.56656346749226005</v>
      </c>
    </row>
    <row r="345" spans="1:18">
      <c r="A345" t="s">
        <v>517</v>
      </c>
      <c r="B345" s="4">
        <v>46042</v>
      </c>
      <c r="C345" t="s">
        <v>41</v>
      </c>
      <c r="D345" t="s">
        <v>42</v>
      </c>
      <c r="E345" t="s">
        <v>43</v>
      </c>
      <c r="F345" t="s">
        <v>171</v>
      </c>
      <c r="G345" t="s">
        <v>90</v>
      </c>
      <c r="H345" t="s">
        <v>91</v>
      </c>
      <c r="I345" t="s">
        <v>58</v>
      </c>
      <c r="J345" t="s">
        <v>151</v>
      </c>
      <c r="K345" s="17">
        <v>1</v>
      </c>
      <c r="L345" s="5">
        <v>35</v>
      </c>
      <c r="M345" s="5">
        <v>14</v>
      </c>
      <c r="N345" s="6">
        <v>0.1</v>
      </c>
      <c r="O345" s="15">
        <f>Sales[[#This Row],[Quantity]]*Sales[[#This Row],[Unit Price]]*(1-Sales[[#This Row],[Discount Rate]])</f>
        <v>31.5</v>
      </c>
      <c r="P345" s="15">
        <f>Sales[[#This Row],[Unit Cost]]*Sales[[#This Row],[Quantity]]</f>
        <v>14</v>
      </c>
      <c r="Q345" s="15">
        <f>Sales[[#This Row],[Revenue]]-Sales[[#This Row],[Product cost]]</f>
        <v>17.5</v>
      </c>
      <c r="R345" s="21">
        <f>Sales[[#This Row],[Gross Profit]]/Sales[[#This Row],[Revenue]]</f>
        <v>0.55555555555555558</v>
      </c>
    </row>
    <row r="346" spans="1:18">
      <c r="A346" t="s">
        <v>518</v>
      </c>
      <c r="B346" s="4">
        <v>46192</v>
      </c>
      <c r="C346" t="s">
        <v>41</v>
      </c>
      <c r="D346" t="s">
        <v>42</v>
      </c>
      <c r="E346" t="s">
        <v>43</v>
      </c>
      <c r="F346" t="s">
        <v>173</v>
      </c>
      <c r="G346" t="s">
        <v>132</v>
      </c>
      <c r="H346" t="s">
        <v>133</v>
      </c>
      <c r="I346" t="s">
        <v>58</v>
      </c>
      <c r="J346" t="s">
        <v>151</v>
      </c>
      <c r="K346" s="17">
        <v>1</v>
      </c>
      <c r="L346" s="5">
        <v>35</v>
      </c>
      <c r="M346" s="5">
        <f>_xlfn.XLOOKUP(C346, 'Product Reference'!$A$2:$A$9, 'Product Reference'!$D$2:$D$9, "Not Found")</f>
        <v>14</v>
      </c>
      <c r="N346" s="6">
        <v>0.1</v>
      </c>
      <c r="O346" s="15">
        <f>Sales[[#This Row],[Quantity]]*Sales[[#This Row],[Unit Price]]*(1-Sales[[#This Row],[Discount Rate]])</f>
        <v>31.5</v>
      </c>
      <c r="P346" s="15">
        <f>Sales[[#This Row],[Unit Cost]]*Sales[[#This Row],[Quantity]]</f>
        <v>14</v>
      </c>
      <c r="Q346" s="15">
        <f>Sales[[#This Row],[Revenue]]-Sales[[#This Row],[Product cost]]</f>
        <v>17.5</v>
      </c>
      <c r="R346" s="21">
        <f>Sales[[#This Row],[Gross Profit]]/Sales[[#This Row],[Revenue]]</f>
        <v>0.55555555555555558</v>
      </c>
    </row>
    <row r="347" spans="1:18">
      <c r="A347" t="s">
        <v>519</v>
      </c>
      <c r="B347" s="4">
        <v>46032</v>
      </c>
      <c r="C347" t="s">
        <v>44</v>
      </c>
      <c r="D347" t="s">
        <v>45</v>
      </c>
      <c r="E347" t="s">
        <v>43</v>
      </c>
      <c r="F347" t="s">
        <v>175</v>
      </c>
      <c r="G347" t="s">
        <v>88</v>
      </c>
      <c r="H347" t="s">
        <v>89</v>
      </c>
      <c r="I347" t="s">
        <v>58</v>
      </c>
      <c r="J347" t="s">
        <v>151</v>
      </c>
      <c r="K347" s="17">
        <v>1</v>
      </c>
      <c r="L347" s="5">
        <v>20</v>
      </c>
      <c r="M347" s="5">
        <v>7</v>
      </c>
      <c r="N347" s="6">
        <v>0</v>
      </c>
      <c r="O347" s="15">
        <f>Sales[[#This Row],[Quantity]]*Sales[[#This Row],[Unit Price]]*(1-Sales[[#This Row],[Discount Rate]])</f>
        <v>20</v>
      </c>
      <c r="P347" s="15">
        <f>Sales[[#This Row],[Unit Cost]]*Sales[[#This Row],[Quantity]]</f>
        <v>7</v>
      </c>
      <c r="Q347" s="15">
        <f>Sales[[#This Row],[Revenue]]-Sales[[#This Row],[Product cost]]</f>
        <v>13</v>
      </c>
      <c r="R347" s="21">
        <f>Sales[[#This Row],[Gross Profit]]/Sales[[#This Row],[Revenue]]</f>
        <v>0.65</v>
      </c>
    </row>
    <row r="348" spans="1:18">
      <c r="A348" t="s">
        <v>520</v>
      </c>
      <c r="B348" s="4">
        <v>46056</v>
      </c>
      <c r="C348" t="s">
        <v>44</v>
      </c>
      <c r="D348" t="s">
        <v>45</v>
      </c>
      <c r="E348" t="s">
        <v>43</v>
      </c>
      <c r="F348" t="s">
        <v>171</v>
      </c>
      <c r="G348" t="s">
        <v>88</v>
      </c>
      <c r="H348" t="s">
        <v>89</v>
      </c>
      <c r="I348" t="s">
        <v>58</v>
      </c>
      <c r="J348" t="s">
        <v>151</v>
      </c>
      <c r="K348" s="17">
        <v>1</v>
      </c>
      <c r="L348" s="5">
        <v>20</v>
      </c>
      <c r="M348" s="5">
        <v>7</v>
      </c>
      <c r="N348" s="6">
        <v>0</v>
      </c>
      <c r="O348" s="15">
        <f>Sales[[#This Row],[Quantity]]*Sales[[#This Row],[Unit Price]]*(1-Sales[[#This Row],[Discount Rate]])</f>
        <v>20</v>
      </c>
      <c r="P348" s="15">
        <f>Sales[[#This Row],[Unit Cost]]*Sales[[#This Row],[Quantity]]</f>
        <v>7</v>
      </c>
      <c r="Q348" s="15">
        <f>Sales[[#This Row],[Revenue]]-Sales[[#This Row],[Product cost]]</f>
        <v>13</v>
      </c>
      <c r="R348" s="21">
        <f>Sales[[#This Row],[Gross Profit]]/Sales[[#This Row],[Revenue]]</f>
        <v>0.65</v>
      </c>
    </row>
    <row r="349" spans="1:18">
      <c r="A349" t="s">
        <v>521</v>
      </c>
      <c r="B349" s="4">
        <v>46080</v>
      </c>
      <c r="C349" t="s">
        <v>44</v>
      </c>
      <c r="D349" t="s">
        <v>45</v>
      </c>
      <c r="E349" t="s">
        <v>43</v>
      </c>
      <c r="F349" t="s">
        <v>178</v>
      </c>
      <c r="G349" t="s">
        <v>106</v>
      </c>
      <c r="H349" t="s">
        <v>107</v>
      </c>
      <c r="I349" t="s">
        <v>58</v>
      </c>
      <c r="J349" t="s">
        <v>150</v>
      </c>
      <c r="K349" s="17">
        <v>1</v>
      </c>
      <c r="L349" s="5">
        <v>20</v>
      </c>
      <c r="M349" s="5">
        <v>7</v>
      </c>
      <c r="N349" s="6">
        <v>0</v>
      </c>
      <c r="O349" s="15">
        <f>Sales[[#This Row],[Quantity]]*Sales[[#This Row],[Unit Price]]*(1-Sales[[#This Row],[Discount Rate]])</f>
        <v>20</v>
      </c>
      <c r="P349" s="15">
        <f>Sales[[#This Row],[Unit Cost]]*Sales[[#This Row],[Quantity]]</f>
        <v>7</v>
      </c>
      <c r="Q349" s="15">
        <f>Sales[[#This Row],[Revenue]]-Sales[[#This Row],[Product cost]]</f>
        <v>13</v>
      </c>
      <c r="R349" s="21">
        <f>Sales[[#This Row],[Gross Profit]]/Sales[[#This Row],[Revenue]]</f>
        <v>0.65</v>
      </c>
    </row>
    <row r="350" spans="1:18">
      <c r="A350" t="s">
        <v>522</v>
      </c>
      <c r="B350" s="4">
        <v>46202</v>
      </c>
      <c r="C350" t="s">
        <v>44</v>
      </c>
      <c r="D350" t="s">
        <v>45</v>
      </c>
      <c r="E350" t="s">
        <v>43</v>
      </c>
      <c r="F350" t="s">
        <v>173</v>
      </c>
      <c r="G350" t="s">
        <v>74</v>
      </c>
      <c r="H350" t="s">
        <v>75</v>
      </c>
      <c r="I350" t="s">
        <v>63</v>
      </c>
      <c r="J350" t="s">
        <v>150</v>
      </c>
      <c r="K350" s="17">
        <v>1</v>
      </c>
      <c r="L350" s="5">
        <v>20</v>
      </c>
      <c r="M350" s="5">
        <v>7</v>
      </c>
      <c r="N350" s="6">
        <v>0</v>
      </c>
      <c r="O350" s="15">
        <f>Sales[[#This Row],[Quantity]]*Sales[[#This Row],[Unit Price]]*(1-Sales[[#This Row],[Discount Rate]])</f>
        <v>20</v>
      </c>
      <c r="P350" s="15">
        <f>Sales[[#This Row],[Unit Cost]]*Sales[[#This Row],[Quantity]]</f>
        <v>7</v>
      </c>
      <c r="Q350" s="15">
        <f>Sales[[#This Row],[Revenue]]-Sales[[#This Row],[Product cost]]</f>
        <v>13</v>
      </c>
      <c r="R350" s="21">
        <f>Sales[[#This Row],[Gross Profit]]/Sales[[#This Row],[Revenue]]</f>
        <v>0.65</v>
      </c>
    </row>
    <row r="351" spans="1:18">
      <c r="A351" t="s">
        <v>523</v>
      </c>
      <c r="B351" s="4">
        <v>46038</v>
      </c>
      <c r="C351" t="s">
        <v>44</v>
      </c>
      <c r="D351" t="s">
        <v>45</v>
      </c>
      <c r="E351" t="s">
        <v>43</v>
      </c>
      <c r="F351" t="s">
        <v>175</v>
      </c>
      <c r="G351" t="s">
        <v>94</v>
      </c>
      <c r="H351" t="s">
        <v>95</v>
      </c>
      <c r="I351" t="s">
        <v>58</v>
      </c>
      <c r="J351" t="s">
        <v>150</v>
      </c>
      <c r="K351" s="17">
        <v>1</v>
      </c>
      <c r="L351" s="5">
        <v>20</v>
      </c>
      <c r="M351" s="5">
        <v>7</v>
      </c>
      <c r="N351" s="6">
        <v>0</v>
      </c>
      <c r="O351" s="15">
        <f>Sales[[#This Row],[Quantity]]*Sales[[#This Row],[Unit Price]]*(1-Sales[[#This Row],[Discount Rate]])</f>
        <v>20</v>
      </c>
      <c r="P351" s="15">
        <f>Sales[[#This Row],[Unit Cost]]*Sales[[#This Row],[Quantity]]</f>
        <v>7</v>
      </c>
      <c r="Q351" s="15">
        <f>Sales[[#This Row],[Revenue]]-Sales[[#This Row],[Product cost]]</f>
        <v>13</v>
      </c>
      <c r="R351" s="21">
        <f>Sales[[#This Row],[Gross Profit]]/Sales[[#This Row],[Revenue]]</f>
        <v>0.65</v>
      </c>
    </row>
    <row r="352" spans="1:18">
      <c r="A352" t="s">
        <v>524</v>
      </c>
      <c r="B352" s="4">
        <v>46103</v>
      </c>
      <c r="C352" t="s">
        <v>44</v>
      </c>
      <c r="D352" t="s">
        <v>45</v>
      </c>
      <c r="E352" t="s">
        <v>43</v>
      </c>
      <c r="F352" t="s">
        <v>175</v>
      </c>
      <c r="G352" t="s">
        <v>100</v>
      </c>
      <c r="H352" t="s">
        <v>101</v>
      </c>
      <c r="I352" t="s">
        <v>58</v>
      </c>
      <c r="J352" t="s">
        <v>150</v>
      </c>
      <c r="K352" s="17">
        <v>1</v>
      </c>
      <c r="L352" s="5">
        <v>21</v>
      </c>
      <c r="M352" s="5">
        <v>7</v>
      </c>
      <c r="N352" s="6">
        <v>0.05</v>
      </c>
      <c r="O352" s="15">
        <f>Sales[[#This Row],[Quantity]]*Sales[[#This Row],[Unit Price]]*(1-Sales[[#This Row],[Discount Rate]])</f>
        <v>19.95</v>
      </c>
      <c r="P352" s="15">
        <f>Sales[[#This Row],[Unit Cost]]*Sales[[#This Row],[Quantity]]</f>
        <v>7</v>
      </c>
      <c r="Q352" s="15">
        <f>Sales[[#This Row],[Revenue]]-Sales[[#This Row],[Product cost]]</f>
        <v>12.95</v>
      </c>
      <c r="R352" s="21">
        <f>Sales[[#This Row],[Gross Profit]]/Sales[[#This Row],[Revenue]]</f>
        <v>0.64912280701754388</v>
      </c>
    </row>
    <row r="353" spans="1:18">
      <c r="A353" t="s">
        <v>525</v>
      </c>
      <c r="B353" s="4">
        <v>46188</v>
      </c>
      <c r="C353" t="s">
        <v>44</v>
      </c>
      <c r="D353" t="s">
        <v>45</v>
      </c>
      <c r="E353" t="s">
        <v>43</v>
      </c>
      <c r="F353" t="s">
        <v>173</v>
      </c>
      <c r="G353" t="s">
        <v>106</v>
      </c>
      <c r="H353" t="s">
        <v>107</v>
      </c>
      <c r="I353" t="s">
        <v>58</v>
      </c>
      <c r="J353" t="s">
        <v>151</v>
      </c>
      <c r="K353" s="17">
        <v>1</v>
      </c>
      <c r="L353" s="5">
        <v>20</v>
      </c>
      <c r="M353" s="5">
        <v>7</v>
      </c>
      <c r="N353" s="6">
        <v>0.05</v>
      </c>
      <c r="O353" s="15">
        <f>Sales[[#This Row],[Quantity]]*Sales[[#This Row],[Unit Price]]*(1-Sales[[#This Row],[Discount Rate]])</f>
        <v>19</v>
      </c>
      <c r="P353" s="15">
        <f>Sales[[#This Row],[Unit Cost]]*Sales[[#This Row],[Quantity]]</f>
        <v>7</v>
      </c>
      <c r="Q353" s="15">
        <f>Sales[[#This Row],[Revenue]]-Sales[[#This Row],[Product cost]]</f>
        <v>12</v>
      </c>
      <c r="R353" s="21">
        <f>Sales[[#This Row],[Gross Profit]]/Sales[[#This Row],[Revenue]]</f>
        <v>0.63157894736842102</v>
      </c>
    </row>
    <row r="354" spans="1:18">
      <c r="A354" t="s">
        <v>526</v>
      </c>
      <c r="B354" s="4">
        <v>46175</v>
      </c>
      <c r="C354" t="s">
        <v>44</v>
      </c>
      <c r="D354" t="s">
        <v>45</v>
      </c>
      <c r="E354" t="s">
        <v>43</v>
      </c>
      <c r="F354" t="s">
        <v>171</v>
      </c>
      <c r="G354" t="s">
        <v>90</v>
      </c>
      <c r="H354" t="s">
        <v>91</v>
      </c>
      <c r="I354" t="s">
        <v>58</v>
      </c>
      <c r="J354" t="s">
        <v>150</v>
      </c>
      <c r="K354" s="17">
        <v>1</v>
      </c>
      <c r="L354" s="5">
        <v>19</v>
      </c>
      <c r="M354" s="5">
        <v>7</v>
      </c>
      <c r="N354" s="6">
        <v>0</v>
      </c>
      <c r="O354" s="15">
        <f>Sales[[#This Row],[Quantity]]*Sales[[#This Row],[Unit Price]]*(1-Sales[[#This Row],[Discount Rate]])</f>
        <v>19</v>
      </c>
      <c r="P354" s="15">
        <f>Sales[[#This Row],[Unit Cost]]*Sales[[#This Row],[Quantity]]</f>
        <v>7</v>
      </c>
      <c r="Q354" s="15">
        <f>Sales[[#This Row],[Revenue]]-Sales[[#This Row],[Product cost]]</f>
        <v>12</v>
      </c>
      <c r="R354" s="21">
        <f>Sales[[#This Row],[Gross Profit]]/Sales[[#This Row],[Revenue]]</f>
        <v>0.63157894736842102</v>
      </c>
    </row>
    <row r="355" spans="1:18">
      <c r="A355" t="s">
        <v>527</v>
      </c>
      <c r="B355" s="4">
        <v>46192</v>
      </c>
      <c r="C355" t="s">
        <v>44</v>
      </c>
      <c r="D355" t="s">
        <v>45</v>
      </c>
      <c r="E355" t="s">
        <v>43</v>
      </c>
      <c r="F355" t="s">
        <v>173</v>
      </c>
      <c r="G355" t="s">
        <v>64</v>
      </c>
      <c r="H355" t="s">
        <v>65</v>
      </c>
      <c r="I355" t="s">
        <v>58</v>
      </c>
      <c r="J355" t="s">
        <v>150</v>
      </c>
      <c r="K355" s="17">
        <v>1</v>
      </c>
      <c r="L355" s="5">
        <v>19</v>
      </c>
      <c r="M355" s="5">
        <v>7</v>
      </c>
      <c r="N355" s="6">
        <v>0</v>
      </c>
      <c r="O355" s="15">
        <f>Sales[[#This Row],[Quantity]]*Sales[[#This Row],[Unit Price]]*(1-Sales[[#This Row],[Discount Rate]])</f>
        <v>19</v>
      </c>
      <c r="P355" s="15">
        <f>Sales[[#This Row],[Unit Cost]]*Sales[[#This Row],[Quantity]]</f>
        <v>7</v>
      </c>
      <c r="Q355" s="15">
        <f>Sales[[#This Row],[Revenue]]-Sales[[#This Row],[Product cost]]</f>
        <v>12</v>
      </c>
      <c r="R355" s="21">
        <f>Sales[[#This Row],[Gross Profit]]/Sales[[#This Row],[Revenue]]</f>
        <v>0.63157894736842102</v>
      </c>
    </row>
    <row r="356" spans="1:18">
      <c r="A356" t="s">
        <v>528</v>
      </c>
      <c r="B356" s="4">
        <v>46125</v>
      </c>
      <c r="C356" t="s">
        <v>44</v>
      </c>
      <c r="D356" t="s">
        <v>45</v>
      </c>
      <c r="E356" t="s">
        <v>43</v>
      </c>
      <c r="F356" t="s">
        <v>173</v>
      </c>
      <c r="G356" t="s">
        <v>124</v>
      </c>
      <c r="H356" t="s">
        <v>125</v>
      </c>
      <c r="I356" t="s">
        <v>58</v>
      </c>
      <c r="J356" t="s">
        <v>152</v>
      </c>
      <c r="K356" s="17">
        <v>1</v>
      </c>
      <c r="L356" s="5">
        <v>20</v>
      </c>
      <c r="M356" s="5">
        <v>7</v>
      </c>
      <c r="N356" s="6">
        <v>0.1</v>
      </c>
      <c r="O356" s="15">
        <f>Sales[[#This Row],[Quantity]]*Sales[[#This Row],[Unit Price]]*(1-Sales[[#This Row],[Discount Rate]])</f>
        <v>18</v>
      </c>
      <c r="P356" s="15">
        <f>Sales[[#This Row],[Unit Cost]]*Sales[[#This Row],[Quantity]]</f>
        <v>7</v>
      </c>
      <c r="Q356" s="15">
        <f>Sales[[#This Row],[Revenue]]-Sales[[#This Row],[Product cost]]</f>
        <v>11</v>
      </c>
      <c r="R356" s="21">
        <f>Sales[[#This Row],[Gross Profit]]/Sales[[#This Row],[Revenue]]</f>
        <v>0.61111111111111116</v>
      </c>
    </row>
    <row r="357" spans="1:18">
      <c r="A357" t="s">
        <v>529</v>
      </c>
      <c r="B357" s="4">
        <v>46050</v>
      </c>
      <c r="C357" t="s">
        <v>44</v>
      </c>
      <c r="D357" t="s">
        <v>45</v>
      </c>
      <c r="E357" t="s">
        <v>43</v>
      </c>
      <c r="F357" t="s">
        <v>171</v>
      </c>
      <c r="G357" t="s">
        <v>70</v>
      </c>
      <c r="H357" t="s">
        <v>71</v>
      </c>
      <c r="I357" t="s">
        <v>58</v>
      </c>
      <c r="J357" t="s">
        <v>150</v>
      </c>
      <c r="K357" s="17">
        <v>1</v>
      </c>
      <c r="L357" s="5">
        <v>20</v>
      </c>
      <c r="M357" s="5">
        <v>7</v>
      </c>
      <c r="N357" s="6">
        <v>0.15</v>
      </c>
      <c r="O357" s="15">
        <f>Sales[[#This Row],[Quantity]]*Sales[[#This Row],[Unit Price]]*(1-Sales[[#This Row],[Discount Rate]])</f>
        <v>17</v>
      </c>
      <c r="P357" s="15">
        <f>Sales[[#This Row],[Unit Cost]]*Sales[[#This Row],[Quantity]]</f>
        <v>7</v>
      </c>
      <c r="Q357" s="15">
        <f>Sales[[#This Row],[Revenue]]-Sales[[#This Row],[Product cost]]</f>
        <v>10</v>
      </c>
      <c r="R357" s="21">
        <f>Sales[[#This Row],[Gross Profit]]/Sales[[#This Row],[Revenue]]</f>
        <v>0.58823529411764708</v>
      </c>
    </row>
    <row r="358" spans="1:18">
      <c r="A358" t="s">
        <v>530</v>
      </c>
      <c r="B358" s="4">
        <v>46035</v>
      </c>
      <c r="C358" t="s">
        <v>44</v>
      </c>
      <c r="D358" t="s">
        <v>45</v>
      </c>
      <c r="E358" t="s">
        <v>43</v>
      </c>
      <c r="F358" t="s">
        <v>173</v>
      </c>
      <c r="G358" t="s">
        <v>72</v>
      </c>
      <c r="H358" t="s">
        <v>73</v>
      </c>
      <c r="I358" t="s">
        <v>58</v>
      </c>
      <c r="J358" t="s">
        <v>152</v>
      </c>
      <c r="K358" s="17">
        <v>1</v>
      </c>
      <c r="L358" s="5">
        <v>20</v>
      </c>
      <c r="M358" s="5">
        <v>7</v>
      </c>
      <c r="N358" s="6">
        <v>0.15</v>
      </c>
      <c r="O358" s="15">
        <f>Sales[[#This Row],[Quantity]]*Sales[[#This Row],[Unit Price]]*(1-Sales[[#This Row],[Discount Rate]])</f>
        <v>17</v>
      </c>
      <c r="P358" s="15">
        <f>Sales[[#This Row],[Unit Cost]]*Sales[[#This Row],[Quantity]]</f>
        <v>7</v>
      </c>
      <c r="Q358" s="15">
        <f>Sales[[#This Row],[Revenue]]-Sales[[#This Row],[Product cost]]</f>
        <v>10</v>
      </c>
      <c r="R358" s="21">
        <f>Sales[[#This Row],[Gross Profit]]/Sales[[#This Row],[Revenue]]</f>
        <v>0.58823529411764708</v>
      </c>
    </row>
    <row r="359" spans="1:18">
      <c r="A359" t="s">
        <v>531</v>
      </c>
      <c r="B359" s="4">
        <v>46133</v>
      </c>
      <c r="C359" t="s">
        <v>44</v>
      </c>
      <c r="D359" t="s">
        <v>45</v>
      </c>
      <c r="E359" t="s">
        <v>43</v>
      </c>
      <c r="F359" t="s">
        <v>175</v>
      </c>
      <c r="G359" t="s">
        <v>136</v>
      </c>
      <c r="H359" t="s">
        <v>137</v>
      </c>
      <c r="I359" t="s">
        <v>58</v>
      </c>
      <c r="J359" t="s">
        <v>151</v>
      </c>
      <c r="K359" s="17">
        <v>1</v>
      </c>
      <c r="L359" s="5">
        <v>20</v>
      </c>
      <c r="M359" s="5">
        <v>7</v>
      </c>
      <c r="N359" s="6">
        <v>0.15</v>
      </c>
      <c r="O359" s="15">
        <f>Sales[[#This Row],[Quantity]]*Sales[[#This Row],[Unit Price]]*(1-Sales[[#This Row],[Discount Rate]])</f>
        <v>17</v>
      </c>
      <c r="P359" s="15">
        <f>Sales[[#This Row],[Unit Cost]]*Sales[[#This Row],[Quantity]]</f>
        <v>7</v>
      </c>
      <c r="Q359" s="15">
        <f>Sales[[#This Row],[Revenue]]-Sales[[#This Row],[Product cost]]</f>
        <v>10</v>
      </c>
      <c r="R359" s="21">
        <f>Sales[[#This Row],[Gross Profit]]/Sales[[#This Row],[Revenue]]</f>
        <v>0.58823529411764708</v>
      </c>
    </row>
    <row r="360" spans="1:18">
      <c r="B360"/>
      <c r="K360"/>
    </row>
    <row r="361" spans="1:18">
      <c r="B361"/>
      <c r="K361"/>
    </row>
    <row r="362" spans="1:18">
      <c r="B362"/>
      <c r="K362"/>
    </row>
    <row r="363" spans="1:18">
      <c r="B363"/>
      <c r="K363"/>
    </row>
    <row r="364" spans="1:18">
      <c r="B364"/>
      <c r="K364"/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EAE5-2558-2141-95DF-08D441630F0A}">
  <dimension ref="A3:F6"/>
  <sheetViews>
    <sheetView workbookViewId="0">
      <selection activeCell="C9" sqref="C9"/>
    </sheetView>
  </sheetViews>
  <sheetFormatPr defaultColWidth="11.42578125" defaultRowHeight="15"/>
  <cols>
    <col min="1" max="1" width="12.140625" bestFit="1" customWidth="1"/>
    <col min="2" max="2" width="13.42578125" bestFit="1" customWidth="1"/>
    <col min="3" max="3" width="15.42578125" bestFit="1" customWidth="1"/>
    <col min="4" max="5" width="16.28515625" bestFit="1" customWidth="1"/>
    <col min="6" max="6" width="13.28515625" customWidth="1"/>
  </cols>
  <sheetData>
    <row r="3" spans="1:6">
      <c r="A3" s="22" t="s">
        <v>138</v>
      </c>
      <c r="B3" t="s">
        <v>139</v>
      </c>
      <c r="C3" t="s">
        <v>140</v>
      </c>
      <c r="D3" t="s">
        <v>532</v>
      </c>
    </row>
    <row r="4" spans="1:6">
      <c r="A4" s="23" t="s">
        <v>63</v>
      </c>
      <c r="B4" s="15">
        <v>112402.22499999995</v>
      </c>
      <c r="C4" s="15">
        <v>44723.225000000013</v>
      </c>
      <c r="D4" s="21">
        <f>GETPIVOTDATA("Sum of Gross Profit",$A$3,"Customer Type","B2B")/GETPIVOTDATA("Sum of Revenue",$A$3,"Customer Type","B2B")</f>
        <v>0.39788558456027034</v>
      </c>
      <c r="F4" s="21"/>
    </row>
    <row r="5" spans="1:6">
      <c r="A5" s="23" t="s">
        <v>58</v>
      </c>
      <c r="B5" s="15">
        <v>118101.93749999996</v>
      </c>
      <c r="C5" s="15">
        <v>43812.9375</v>
      </c>
      <c r="D5" s="21">
        <f>GETPIVOTDATA("Sum of Gross Profit",$A$3,"Customer Type","B2C")/GETPIVOTDATA("Sum of Revenue",$A$3,"Customer Type","B2C")</f>
        <v>0.37097560317331812</v>
      </c>
      <c r="F5" s="21"/>
    </row>
    <row r="6" spans="1:6">
      <c r="A6" s="23" t="s">
        <v>148</v>
      </c>
      <c r="B6" s="15">
        <v>230504.16249999992</v>
      </c>
      <c r="C6" s="15">
        <v>88536.162500000006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6411-948A-114B-9F17-57F4EE13AAA0}">
  <dimension ref="A3:D20"/>
  <sheetViews>
    <sheetView workbookViewId="0">
      <selection activeCell="B21" sqref="B21"/>
    </sheetView>
  </sheetViews>
  <sheetFormatPr defaultColWidth="11.42578125" defaultRowHeight="15"/>
  <cols>
    <col min="1" max="1" width="12.140625" bestFit="1" customWidth="1"/>
    <col min="2" max="2" width="13.42578125" bestFit="1" customWidth="1"/>
    <col min="3" max="3" width="15.42578125" bestFit="1" customWidth="1"/>
  </cols>
  <sheetData>
    <row r="3" spans="1:4">
      <c r="A3" s="22" t="s">
        <v>138</v>
      </c>
      <c r="B3" t="s">
        <v>139</v>
      </c>
      <c r="C3" t="s">
        <v>140</v>
      </c>
      <c r="D3" t="s">
        <v>141</v>
      </c>
    </row>
    <row r="4" spans="1:4">
      <c r="A4" s="23" t="s">
        <v>35</v>
      </c>
      <c r="B4" s="15">
        <v>99857.875</v>
      </c>
      <c r="C4" s="15">
        <v>30627.875</v>
      </c>
      <c r="D4" s="21">
        <f>GETPIVOTDATA("Sum of Gross Profit",$A$3,"Product","Laptop")/GETPIVOTDATA("Sum of Revenue",$A$3,"Product","Laptop")</f>
        <v>0.30671466822221083</v>
      </c>
    </row>
    <row r="5" spans="1:4">
      <c r="A5" s="23" t="s">
        <v>40</v>
      </c>
      <c r="B5" s="15">
        <v>37003.200000000004</v>
      </c>
      <c r="C5" s="15">
        <v>13908.199999999999</v>
      </c>
      <c r="D5" s="21">
        <f>GETPIVOTDATA("Sum of Gross Profit",$A$3,"Product","Tablet")/GETPIVOTDATA("Sum of Revenue",$A$3,"Product","Tablet")</f>
        <v>0.37586479007220991</v>
      </c>
    </row>
    <row r="6" spans="1:4">
      <c r="A6" s="23" t="s">
        <v>49</v>
      </c>
      <c r="B6" s="15">
        <v>29512</v>
      </c>
      <c r="C6" s="15">
        <v>12031.999999999996</v>
      </c>
      <c r="D6" s="21">
        <f>GETPIVOTDATA("Sum of Gross Profit",$A$3,"Product","Desk")/GETPIVOTDATA("Sum of Revenue",$A$3,"Product","Desk")</f>
        <v>0.40769856329628612</v>
      </c>
    </row>
    <row r="7" spans="1:4">
      <c r="A7" s="23" t="s">
        <v>38</v>
      </c>
      <c r="B7" s="15">
        <v>23693.85</v>
      </c>
      <c r="C7" s="15">
        <v>10773.849999999999</v>
      </c>
      <c r="D7" s="21">
        <f>GETPIVOTDATA("Sum of Gross Profit",$A$3,"Product","Monitor")/GETPIVOTDATA("Sum of Revenue",$A$3,"Product","Monitor")</f>
        <v>0.45471082158450399</v>
      </c>
    </row>
    <row r="8" spans="1:4">
      <c r="A8" s="23" t="s">
        <v>52</v>
      </c>
      <c r="B8" s="15">
        <v>20344.024999999998</v>
      </c>
      <c r="C8" s="15">
        <v>9424.0249999999996</v>
      </c>
      <c r="D8" s="21">
        <f>GETPIVOTDATA("Sum of Gross Profit",$A$3,"Product","Office Chair")/GETPIVOTDATA("Sum of Revenue",$A$3,"Product","Office Chair")</f>
        <v>0.46323306228733008</v>
      </c>
    </row>
    <row r="9" spans="1:4">
      <c r="A9" s="23" t="s">
        <v>47</v>
      </c>
      <c r="B9" s="15">
        <v>9534.3875000000007</v>
      </c>
      <c r="C9" s="15">
        <v>5530.3874999999998</v>
      </c>
      <c r="D9" s="21">
        <f>GETPIVOTDATA("Sum of Gross Profit",$A$3,"Product","Headphones")/GETPIVOTDATA("Sum of Revenue",$A$3,"Product","Headphones")</f>
        <v>0.58004643717281257</v>
      </c>
    </row>
    <row r="10" spans="1:4">
      <c r="A10" s="23" t="s">
        <v>42</v>
      </c>
      <c r="B10" s="15">
        <v>7349.4749999999985</v>
      </c>
      <c r="C10" s="15">
        <v>4213.4749999999995</v>
      </c>
      <c r="D10" s="21">
        <f>GETPIVOTDATA("Sum of Gross Profit",$A$3,"Product","Keyboard")/GETPIVOTDATA("Sum of Revenue",$A$3,"Product","Keyboard")</f>
        <v>0.57330285496583089</v>
      </c>
    </row>
    <row r="11" spans="1:4">
      <c r="A11" s="23" t="s">
        <v>45</v>
      </c>
      <c r="B11" s="15">
        <v>3209.349999999999</v>
      </c>
      <c r="C11" s="15">
        <v>2026.3500000000004</v>
      </c>
      <c r="D11" s="21">
        <f>GETPIVOTDATA("Sum of Gross Profit",$A$3,"Product","Mouse")/GETPIVOTDATA("Sum of Revenue",$A$3,"Product","Mouse")</f>
        <v>0.63138953370620254</v>
      </c>
    </row>
    <row r="12" spans="1:4">
      <c r="A12" s="23" t="s">
        <v>148</v>
      </c>
      <c r="B12" s="15">
        <v>230504.16250000001</v>
      </c>
      <c r="C12" s="15">
        <v>88536.162499999991</v>
      </c>
    </row>
    <row r="17" spans="2:2">
      <c r="B17">
        <f>SUM(GETPIVOTDATA("Sum of Gross Profit",$A$3,"Product","Desk"), GETPIVOTDATA("Sum of Gross Profit",$A$3,"Product","Desk"))</f>
        <v>24063.999999999993</v>
      </c>
    </row>
    <row r="20" spans="2:2">
      <c r="B20">
        <f>SUM(GETPIVOTDATA("Sum of Revenue",$A$3,"Product","Desk"),GETPIVOTDATA("Sum of Gross Profit",$A$3,"Product","Mouse"))</f>
        <v>31538.35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1402-6748-B340-BD53-763BE58AEF32}">
  <dimension ref="A3:D11"/>
  <sheetViews>
    <sheetView workbookViewId="0">
      <selection activeCell="S23" sqref="S23"/>
    </sheetView>
  </sheetViews>
  <sheetFormatPr defaultColWidth="11.42578125" defaultRowHeight="15"/>
  <cols>
    <col min="1" max="1" width="12.140625" bestFit="1" customWidth="1"/>
    <col min="2" max="2" width="13.42578125" bestFit="1" customWidth="1"/>
    <col min="3" max="3" width="15.42578125" bestFit="1" customWidth="1"/>
    <col min="4" max="4" width="16.85546875" bestFit="1" customWidth="1"/>
    <col min="5" max="5" width="6.42578125" bestFit="1" customWidth="1"/>
    <col min="6" max="6" width="7.7109375" bestFit="1" customWidth="1"/>
    <col min="7" max="7" width="6.42578125" bestFit="1" customWidth="1"/>
    <col min="8" max="8" width="10" bestFit="1" customWidth="1"/>
    <col min="9" max="9" width="6" bestFit="1" customWidth="1"/>
    <col min="10" max="10" width="10" bestFit="1" customWidth="1"/>
    <col min="11" max="41" width="6.28515625" bestFit="1" customWidth="1"/>
    <col min="42" max="169" width="7.140625" bestFit="1" customWidth="1"/>
    <col min="170" max="219" width="8.7109375" bestFit="1" customWidth="1"/>
    <col min="220" max="220" width="10" bestFit="1" customWidth="1"/>
  </cols>
  <sheetData>
    <row r="3" spans="1:4">
      <c r="A3" s="22" t="s">
        <v>138</v>
      </c>
      <c r="B3" t="s">
        <v>139</v>
      </c>
      <c r="C3" t="s">
        <v>140</v>
      </c>
      <c r="D3" t="s">
        <v>533</v>
      </c>
    </row>
    <row r="4" spans="1:4">
      <c r="A4" s="23" t="s">
        <v>173</v>
      </c>
      <c r="B4" s="15">
        <v>62029.049999999996</v>
      </c>
      <c r="C4" s="15">
        <v>23333.050000000003</v>
      </c>
      <c r="D4" s="21">
        <f>GETPIVOTDATA("Sum of Gross Profit",A3,"Region","North West")/GETPIVOTDATA("Sum of Revenue",A3,"Region","North West")</f>
        <v>0.37616326543772644</v>
      </c>
    </row>
    <row r="5" spans="1:4">
      <c r="A5" s="23" t="s">
        <v>175</v>
      </c>
      <c r="B5" s="15">
        <v>58851.774999999994</v>
      </c>
      <c r="C5" s="15">
        <v>23169.775000000001</v>
      </c>
      <c r="D5" s="21">
        <f>GETPIVOTDATA("Sum of Gross Profit",$A$3,"Region","Midlands")/GETPIVOTDATA("Sum of Revenue",$A$3,"Region","Midlands")</f>
        <v>0.39369713147989172</v>
      </c>
    </row>
    <row r="6" spans="1:4">
      <c r="A6" s="23" t="s">
        <v>171</v>
      </c>
      <c r="B6" s="15">
        <v>58322.100000000013</v>
      </c>
      <c r="C6" s="15">
        <v>22484.100000000009</v>
      </c>
      <c r="D6" s="21">
        <f>GETPIVOTDATA("Sum of Gross Profit",$A$3,"Region","London")/GETPIVOTDATA("Sum of Revenue",$A$3,"Region","London")</f>
        <v>0.3855159536436446</v>
      </c>
    </row>
    <row r="7" spans="1:4">
      <c r="A7" s="23" t="s">
        <v>178</v>
      </c>
      <c r="B7" s="15">
        <v>51301.237500000003</v>
      </c>
      <c r="C7" s="15">
        <v>19549.237500000003</v>
      </c>
      <c r="D7" s="21">
        <f>GETPIVOTDATA("Sum of Gross Profit",$A$3,"Region","South East")/GETPIVOTDATA("Sum of Revenue",$A$3,"Region","South East")</f>
        <v>0.38106756196670699</v>
      </c>
    </row>
    <row r="8" spans="1:4">
      <c r="A8" s="23" t="s">
        <v>148</v>
      </c>
      <c r="B8" s="15">
        <v>230504.16249999998</v>
      </c>
      <c r="C8" s="15">
        <v>88536.16250000002</v>
      </c>
      <c r="D8" s="21"/>
    </row>
    <row r="9" spans="1:4">
      <c r="D9" s="21"/>
    </row>
    <row r="10" spans="1:4">
      <c r="D10" s="21"/>
    </row>
    <row r="11" spans="1:4">
      <c r="D11" s="21"/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3912-4C0E-0C4A-A70C-4F5E5EC26BFC}">
  <dimension ref="A1:B3"/>
  <sheetViews>
    <sheetView workbookViewId="0">
      <selection activeCell="M41" sqref="M41"/>
    </sheetView>
  </sheetViews>
  <sheetFormatPr defaultColWidth="11.42578125" defaultRowHeight="15"/>
  <cols>
    <col min="1" max="1" width="18" customWidth="1"/>
    <col min="2" max="2" width="25" style="15" customWidth="1"/>
  </cols>
  <sheetData>
    <row r="1" spans="1:2">
      <c r="A1" t="s">
        <v>534</v>
      </c>
      <c r="B1" s="15">
        <f>SUM(Sales[Revenue])</f>
        <v>230504.16249999998</v>
      </c>
    </row>
    <row r="2" spans="1:2">
      <c r="A2" s="15" t="s">
        <v>535</v>
      </c>
      <c r="B2" s="15">
        <f>SUM(Sales[Gross Profit])</f>
        <v>88536.162499999933</v>
      </c>
    </row>
    <row r="3" spans="1:2">
      <c r="A3" t="s">
        <v>536</v>
      </c>
      <c r="B3" s="21">
        <f>B2/B1</f>
        <v>0.38409789020621238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65C6-945A-4A4D-A4DF-CC7D361F5DC3}">
  <dimension ref="A1:N366"/>
  <sheetViews>
    <sheetView tabSelected="1" workbookViewId="0">
      <selection activeCell="E13" sqref="E13"/>
    </sheetView>
  </sheetViews>
  <sheetFormatPr defaultColWidth="11.42578125" defaultRowHeight="15"/>
  <cols>
    <col min="2" max="2" width="22" customWidth="1"/>
    <col min="3" max="3" width="11.7109375" customWidth="1"/>
    <col min="4" max="4" width="23.28515625" customWidth="1"/>
    <col min="5" max="5" width="18.140625" customWidth="1"/>
    <col min="6" max="6" width="17" customWidth="1"/>
    <col min="7" max="7" width="15.140625" customWidth="1"/>
    <col min="8" max="8" width="19.28515625" customWidth="1"/>
    <col min="9" max="9" width="15.42578125" customWidth="1"/>
    <col min="10" max="10" width="16.42578125" customWidth="1"/>
    <col min="11" max="11" width="15.7109375" customWidth="1"/>
    <col min="12" max="12" width="12.7109375" customWidth="1"/>
    <col min="13" max="13" width="13.140625" customWidth="1"/>
    <col min="14" max="14" width="15.140625" customWidth="1"/>
  </cols>
  <sheetData>
    <row r="1" spans="1:14" ht="15.95">
      <c r="A1" s="9" t="s">
        <v>160</v>
      </c>
      <c r="B1" s="9" t="s">
        <v>161</v>
      </c>
      <c r="C1" s="9" t="s">
        <v>30</v>
      </c>
      <c r="D1" s="9" t="s">
        <v>31</v>
      </c>
      <c r="E1" s="9" t="s">
        <v>32</v>
      </c>
      <c r="F1" s="9" t="s">
        <v>162</v>
      </c>
      <c r="G1" s="9" t="s">
        <v>53</v>
      </c>
      <c r="H1" s="9" t="s">
        <v>54</v>
      </c>
      <c r="I1" s="9" t="s">
        <v>55</v>
      </c>
      <c r="J1" s="9" t="s">
        <v>163</v>
      </c>
      <c r="K1" s="9" t="s">
        <v>164</v>
      </c>
      <c r="L1" s="9" t="s">
        <v>165</v>
      </c>
      <c r="M1" s="9" t="s">
        <v>166</v>
      </c>
      <c r="N1" s="9" t="s">
        <v>167</v>
      </c>
    </row>
    <row r="2" spans="1:14">
      <c r="A2" s="10" t="s">
        <v>218</v>
      </c>
      <c r="B2" s="11">
        <v>46097</v>
      </c>
      <c r="C2" s="10" t="s">
        <v>51</v>
      </c>
      <c r="D2" s="10" t="s">
        <v>52</v>
      </c>
      <c r="E2" s="10" t="s">
        <v>50</v>
      </c>
      <c r="F2" s="10" t="s">
        <v>175</v>
      </c>
      <c r="G2" s="10" t="s">
        <v>110</v>
      </c>
      <c r="H2" s="10" t="s">
        <v>111</v>
      </c>
      <c r="I2" s="10" t="s">
        <v>63</v>
      </c>
      <c r="J2" s="10" t="s">
        <v>150</v>
      </c>
      <c r="K2" s="10">
        <v>11</v>
      </c>
      <c r="L2" s="12">
        <v>130</v>
      </c>
      <c r="M2" s="12">
        <v>65</v>
      </c>
      <c r="N2" s="13">
        <v>0</v>
      </c>
    </row>
    <row r="3" spans="1:14">
      <c r="A3" s="10" t="s">
        <v>492</v>
      </c>
      <c r="B3" s="11">
        <v>46194</v>
      </c>
      <c r="C3" s="10" t="s">
        <v>46</v>
      </c>
      <c r="D3" s="10" t="s">
        <v>47</v>
      </c>
      <c r="E3" s="10" t="s">
        <v>43</v>
      </c>
      <c r="F3" s="10" t="s">
        <v>173</v>
      </c>
      <c r="G3" s="10" t="s">
        <v>112</v>
      </c>
      <c r="H3" s="10" t="s">
        <v>113</v>
      </c>
      <c r="I3" s="10" t="s">
        <v>58</v>
      </c>
      <c r="J3" s="10" t="s">
        <v>151</v>
      </c>
      <c r="K3" s="10">
        <v>1</v>
      </c>
      <c r="L3" s="12">
        <v>57.75</v>
      </c>
      <c r="M3" s="12">
        <v>22</v>
      </c>
      <c r="N3" s="13">
        <v>0</v>
      </c>
    </row>
    <row r="4" spans="1:14">
      <c r="A4" s="10" t="s">
        <v>423</v>
      </c>
      <c r="B4" s="11">
        <v>46031</v>
      </c>
      <c r="C4" s="10" t="s">
        <v>46</v>
      </c>
      <c r="D4" s="10" t="s">
        <v>47</v>
      </c>
      <c r="E4" s="10" t="s">
        <v>43</v>
      </c>
      <c r="F4" s="10" t="s">
        <v>171</v>
      </c>
      <c r="G4" s="10" t="s">
        <v>124</v>
      </c>
      <c r="H4" s="10" t="s">
        <v>125</v>
      </c>
      <c r="I4" s="10" t="s">
        <v>58</v>
      </c>
      <c r="J4" s="10" t="s">
        <v>153</v>
      </c>
      <c r="K4" s="10">
        <v>3</v>
      </c>
      <c r="L4" s="12">
        <v>55</v>
      </c>
      <c r="M4" s="12">
        <v>22</v>
      </c>
      <c r="N4" s="13">
        <v>0.05</v>
      </c>
    </row>
    <row r="5" spans="1:14">
      <c r="A5" s="10" t="s">
        <v>364</v>
      </c>
      <c r="B5" s="11">
        <v>46043</v>
      </c>
      <c r="C5" s="10" t="s">
        <v>46</v>
      </c>
      <c r="D5" s="10" t="s">
        <v>47</v>
      </c>
      <c r="E5" s="10" t="s">
        <v>43</v>
      </c>
      <c r="F5" s="10" t="s">
        <v>173</v>
      </c>
      <c r="G5" s="10" t="s">
        <v>104</v>
      </c>
      <c r="H5" s="10" t="s">
        <v>105</v>
      </c>
      <c r="I5" s="10" t="s">
        <v>63</v>
      </c>
      <c r="J5" s="10" t="s">
        <v>151</v>
      </c>
      <c r="K5" s="10">
        <v>6</v>
      </c>
      <c r="L5" s="12">
        <v>55</v>
      </c>
      <c r="M5" s="12">
        <v>22</v>
      </c>
      <c r="N5" s="13">
        <v>0.1</v>
      </c>
    </row>
    <row r="6" spans="1:14">
      <c r="A6" s="10" t="s">
        <v>230</v>
      </c>
      <c r="B6" s="11">
        <v>46083</v>
      </c>
      <c r="C6" s="10" t="s">
        <v>34</v>
      </c>
      <c r="D6" s="10" t="s">
        <v>35</v>
      </c>
      <c r="E6" s="10" t="s">
        <v>36</v>
      </c>
      <c r="F6" s="10" t="s">
        <v>173</v>
      </c>
      <c r="G6" s="10" t="s">
        <v>94</v>
      </c>
      <c r="H6" s="10" t="s">
        <v>95</v>
      </c>
      <c r="I6" s="10" t="s">
        <v>58</v>
      </c>
      <c r="J6" s="10" t="s">
        <v>153</v>
      </c>
      <c r="K6" s="10">
        <v>2</v>
      </c>
      <c r="L6" s="12">
        <v>617.5</v>
      </c>
      <c r="M6" s="12">
        <v>430</v>
      </c>
      <c r="N6" s="13">
        <v>0</v>
      </c>
    </row>
    <row r="7" spans="1:14">
      <c r="A7" s="10" t="s">
        <v>219</v>
      </c>
      <c r="B7" s="11">
        <v>46104</v>
      </c>
      <c r="C7" s="10" t="s">
        <v>34</v>
      </c>
      <c r="D7" s="10" t="s">
        <v>35</v>
      </c>
      <c r="E7" s="10" t="s">
        <v>36</v>
      </c>
      <c r="F7" s="10" t="s">
        <v>178</v>
      </c>
      <c r="G7" s="10" t="s">
        <v>88</v>
      </c>
      <c r="H7" s="10" t="s">
        <v>89</v>
      </c>
      <c r="I7" s="10" t="s">
        <v>58</v>
      </c>
      <c r="J7" s="10" t="s">
        <v>153</v>
      </c>
      <c r="K7" s="10">
        <v>2</v>
      </c>
      <c r="L7" s="12">
        <v>682.5</v>
      </c>
      <c r="M7" s="12">
        <v>430</v>
      </c>
      <c r="N7" s="13">
        <v>0</v>
      </c>
    </row>
    <row r="8" spans="1:14">
      <c r="A8" s="10" t="s">
        <v>459</v>
      </c>
      <c r="B8" s="11">
        <v>46172</v>
      </c>
      <c r="C8" s="10" t="s">
        <v>44</v>
      </c>
      <c r="D8" s="10" t="s">
        <v>45</v>
      </c>
      <c r="E8" s="10" t="s">
        <v>43</v>
      </c>
      <c r="F8" s="10" t="s">
        <v>175</v>
      </c>
      <c r="G8" s="10" t="s">
        <v>74</v>
      </c>
      <c r="H8" s="10" t="s">
        <v>75</v>
      </c>
      <c r="I8" s="10" t="s">
        <v>63</v>
      </c>
      <c r="J8" s="10" t="s">
        <v>150</v>
      </c>
      <c r="K8" s="10">
        <v>5</v>
      </c>
      <c r="L8" s="12">
        <v>20</v>
      </c>
      <c r="M8" s="12">
        <v>7</v>
      </c>
      <c r="N8" s="13">
        <v>0</v>
      </c>
    </row>
    <row r="9" spans="1:14">
      <c r="A9" s="10" t="s">
        <v>177</v>
      </c>
      <c r="B9" s="11">
        <v>46182</v>
      </c>
      <c r="C9" s="10" t="s">
        <v>34</v>
      </c>
      <c r="D9" s="10" t="s">
        <v>35</v>
      </c>
      <c r="E9" s="10" t="s">
        <v>36</v>
      </c>
      <c r="F9" s="10" t="s">
        <v>178</v>
      </c>
      <c r="G9" s="10" t="s">
        <v>128</v>
      </c>
      <c r="H9" s="10" t="s">
        <v>129</v>
      </c>
      <c r="I9" s="10" t="s">
        <v>63</v>
      </c>
      <c r="J9" s="10" t="s">
        <v>151</v>
      </c>
      <c r="K9" s="10">
        <v>7</v>
      </c>
      <c r="L9" s="12">
        <v>650</v>
      </c>
      <c r="M9" s="12">
        <v>430</v>
      </c>
      <c r="N9" s="13">
        <v>0.05</v>
      </c>
    </row>
    <row r="10" spans="1:14">
      <c r="A10" s="10" t="s">
        <v>485</v>
      </c>
      <c r="B10" s="11">
        <v>46123</v>
      </c>
      <c r="C10" s="10" t="s">
        <v>41</v>
      </c>
      <c r="D10" s="10" t="s">
        <v>42</v>
      </c>
      <c r="E10" s="10" t="s">
        <v>43</v>
      </c>
      <c r="F10" s="10" t="s">
        <v>175</v>
      </c>
      <c r="G10" s="10" t="s">
        <v>108</v>
      </c>
      <c r="H10" s="10" t="s">
        <v>109</v>
      </c>
      <c r="I10" s="10" t="s">
        <v>58</v>
      </c>
      <c r="J10" s="10" t="s">
        <v>150</v>
      </c>
      <c r="K10" s="10">
        <v>2</v>
      </c>
      <c r="L10" s="12">
        <v>35</v>
      </c>
      <c r="M10" s="12">
        <v>14</v>
      </c>
      <c r="N10" s="13">
        <v>0</v>
      </c>
    </row>
    <row r="11" spans="1:14">
      <c r="A11" s="10" t="s">
        <v>321</v>
      </c>
      <c r="B11" s="11">
        <v>46125</v>
      </c>
      <c r="C11" s="10" t="s">
        <v>37</v>
      </c>
      <c r="D11" s="10" t="s">
        <v>38</v>
      </c>
      <c r="E11" s="10" t="s">
        <v>36</v>
      </c>
      <c r="F11" s="10" t="s">
        <v>537</v>
      </c>
      <c r="G11" s="10" t="s">
        <v>102</v>
      </c>
      <c r="H11" s="10" t="s">
        <v>103</v>
      </c>
      <c r="I11" s="10" t="s">
        <v>58</v>
      </c>
      <c r="J11" s="10" t="s">
        <v>150</v>
      </c>
      <c r="K11" s="10">
        <v>3</v>
      </c>
      <c r="L11" s="12">
        <v>171</v>
      </c>
      <c r="M11" s="12">
        <v>95</v>
      </c>
      <c r="N11" s="13">
        <v>0.05</v>
      </c>
    </row>
    <row r="12" spans="1:14">
      <c r="A12" s="10" t="s">
        <v>452</v>
      </c>
      <c r="B12" s="11">
        <v>46147</v>
      </c>
      <c r="C12" s="10" t="s">
        <v>44</v>
      </c>
      <c r="D12" s="10" t="s">
        <v>45</v>
      </c>
      <c r="E12" s="10" t="s">
        <v>43</v>
      </c>
      <c r="F12" s="10" t="s">
        <v>175</v>
      </c>
      <c r="G12" s="10" t="s">
        <v>122</v>
      </c>
      <c r="H12" s="10" t="s">
        <v>123</v>
      </c>
      <c r="I12" s="10" t="s">
        <v>63</v>
      </c>
      <c r="J12" s="10" t="s">
        <v>152</v>
      </c>
      <c r="K12" s="10">
        <v>6</v>
      </c>
      <c r="L12" s="12">
        <v>21</v>
      </c>
      <c r="M12" s="12">
        <v>7</v>
      </c>
      <c r="N12" s="13">
        <v>0.15</v>
      </c>
    </row>
    <row r="13" spans="1:14">
      <c r="A13" s="10" t="s">
        <v>231</v>
      </c>
      <c r="B13" s="11">
        <v>46078</v>
      </c>
      <c r="C13" s="10" t="s">
        <v>34</v>
      </c>
      <c r="D13" s="10" t="s">
        <v>35</v>
      </c>
      <c r="E13" s="10" t="s">
        <v>36</v>
      </c>
      <c r="F13" s="10" t="s">
        <v>175</v>
      </c>
      <c r="G13" s="10" t="s">
        <v>126</v>
      </c>
      <c r="H13" s="10" t="s">
        <v>127</v>
      </c>
      <c r="I13" s="10" t="s">
        <v>58</v>
      </c>
      <c r="J13" s="10" t="s">
        <v>151</v>
      </c>
      <c r="K13" s="10">
        <v>2</v>
      </c>
      <c r="L13" s="12">
        <v>650</v>
      </c>
      <c r="M13" s="12">
        <v>430</v>
      </c>
      <c r="N13" s="13">
        <v>0.05</v>
      </c>
    </row>
    <row r="14" spans="1:14">
      <c r="A14" s="10" t="s">
        <v>304</v>
      </c>
      <c r="B14" s="11">
        <v>46172</v>
      </c>
      <c r="C14" s="10" t="s">
        <v>48</v>
      </c>
      <c r="D14" s="10" t="s">
        <v>49</v>
      </c>
      <c r="E14" s="10" t="s">
        <v>50</v>
      </c>
      <c r="F14" s="10" t="s">
        <v>171</v>
      </c>
      <c r="G14" s="10" t="s">
        <v>124</v>
      </c>
      <c r="H14" s="10" t="s">
        <v>125</v>
      </c>
      <c r="I14" s="10" t="s">
        <v>58</v>
      </c>
      <c r="J14" s="10" t="s">
        <v>151</v>
      </c>
      <c r="K14" s="10">
        <v>3</v>
      </c>
      <c r="L14" s="12">
        <v>178.5</v>
      </c>
      <c r="M14" s="12">
        <v>95</v>
      </c>
      <c r="N14" s="13">
        <v>0</v>
      </c>
    </row>
    <row r="15" spans="1:14">
      <c r="A15" s="10" t="s">
        <v>453</v>
      </c>
      <c r="B15" s="11">
        <v>46125</v>
      </c>
      <c r="C15" s="10" t="s">
        <v>41</v>
      </c>
      <c r="D15" s="10" t="s">
        <v>42</v>
      </c>
      <c r="E15" s="10" t="s">
        <v>43</v>
      </c>
      <c r="F15" s="10" t="s">
        <v>171</v>
      </c>
      <c r="G15" s="10" t="s">
        <v>132</v>
      </c>
      <c r="H15" s="10" t="s">
        <v>133</v>
      </c>
      <c r="I15" s="10" t="s">
        <v>58</v>
      </c>
      <c r="J15" s="10" t="s">
        <v>153</v>
      </c>
      <c r="K15" s="10">
        <v>3</v>
      </c>
      <c r="L15" s="12">
        <v>35</v>
      </c>
      <c r="M15" s="12">
        <v>14</v>
      </c>
      <c r="N15" s="13">
        <v>0</v>
      </c>
    </row>
    <row r="16" spans="1:14">
      <c r="A16" s="10" t="s">
        <v>210</v>
      </c>
      <c r="B16" s="11">
        <v>46148</v>
      </c>
      <c r="C16" s="10" t="s">
        <v>48</v>
      </c>
      <c r="D16" s="10" t="s">
        <v>49</v>
      </c>
      <c r="E16" s="10" t="s">
        <v>50</v>
      </c>
      <c r="F16" s="10" t="s">
        <v>171</v>
      </c>
      <c r="G16" s="10" t="s">
        <v>86</v>
      </c>
      <c r="H16" s="10" t="s">
        <v>87</v>
      </c>
      <c r="I16" s="10" t="s">
        <v>63</v>
      </c>
      <c r="J16" s="10" t="s">
        <v>152</v>
      </c>
      <c r="K16" s="10">
        <v>10</v>
      </c>
      <c r="L16" s="12">
        <v>170</v>
      </c>
      <c r="M16" s="12">
        <v>95</v>
      </c>
      <c r="N16" s="13">
        <v>0.05</v>
      </c>
    </row>
    <row r="17" spans="1:14">
      <c r="A17" s="10" t="s">
        <v>257</v>
      </c>
      <c r="B17" s="11">
        <v>46057</v>
      </c>
      <c r="C17" s="10" t="s">
        <v>39</v>
      </c>
      <c r="D17" s="10" t="s">
        <v>40</v>
      </c>
      <c r="E17" s="10" t="s">
        <v>36</v>
      </c>
      <c r="F17" s="10" t="s">
        <v>173</v>
      </c>
      <c r="G17" s="10" t="s">
        <v>126</v>
      </c>
      <c r="H17" s="10" t="s">
        <v>127</v>
      </c>
      <c r="I17" s="10" t="s">
        <v>58</v>
      </c>
      <c r="J17" s="10" t="s">
        <v>153</v>
      </c>
      <c r="K17" s="10">
        <v>3</v>
      </c>
      <c r="L17" s="12">
        <v>273</v>
      </c>
      <c r="M17" s="12">
        <v>155</v>
      </c>
      <c r="N17" s="13">
        <v>0</v>
      </c>
    </row>
    <row r="18" spans="1:14">
      <c r="A18" s="10" t="s">
        <v>211</v>
      </c>
      <c r="B18" s="11">
        <v>46077</v>
      </c>
      <c r="C18" s="10" t="s">
        <v>48</v>
      </c>
      <c r="D18" s="10" t="s">
        <v>538</v>
      </c>
      <c r="E18" s="10" t="s">
        <v>50</v>
      </c>
      <c r="F18" s="10" t="s">
        <v>171</v>
      </c>
      <c r="G18" s="10" t="s">
        <v>92</v>
      </c>
      <c r="H18" s="10" t="s">
        <v>93</v>
      </c>
      <c r="I18" s="10" t="s">
        <v>63</v>
      </c>
      <c r="J18" s="10" t="s">
        <v>153</v>
      </c>
      <c r="K18" s="10">
        <v>11</v>
      </c>
      <c r="L18" s="12">
        <v>170</v>
      </c>
      <c r="M18" s="12">
        <v>95</v>
      </c>
      <c r="N18" s="13">
        <v>0.15</v>
      </c>
    </row>
    <row r="19" spans="1:14">
      <c r="A19" s="10" t="s">
        <v>284</v>
      </c>
      <c r="B19" s="11">
        <v>46031</v>
      </c>
      <c r="C19" s="10" t="s">
        <v>34</v>
      </c>
      <c r="D19" s="10" t="s">
        <v>35</v>
      </c>
      <c r="E19" s="10" t="s">
        <v>36</v>
      </c>
      <c r="F19" s="10" t="s">
        <v>175</v>
      </c>
      <c r="G19" s="10" t="s">
        <v>59</v>
      </c>
      <c r="H19" s="10" t="s">
        <v>60</v>
      </c>
      <c r="I19" s="10" t="s">
        <v>58</v>
      </c>
      <c r="J19" s="10" t="s">
        <v>151</v>
      </c>
      <c r="K19" s="10">
        <v>1</v>
      </c>
      <c r="L19" s="12">
        <v>650</v>
      </c>
      <c r="M19" s="12">
        <v>430</v>
      </c>
      <c r="N19" s="13">
        <v>0.05</v>
      </c>
    </row>
    <row r="20" spans="1:14">
      <c r="A20" s="10" t="s">
        <v>254</v>
      </c>
      <c r="B20" s="11">
        <v>46113</v>
      </c>
      <c r="C20" s="10" t="s">
        <v>39</v>
      </c>
      <c r="D20" s="10" t="s">
        <v>40</v>
      </c>
      <c r="E20" s="10" t="s">
        <v>36</v>
      </c>
      <c r="F20" s="10" t="s">
        <v>175</v>
      </c>
      <c r="G20" s="10" t="s">
        <v>122</v>
      </c>
      <c r="H20" s="10" t="s">
        <v>123</v>
      </c>
      <c r="I20" s="10" t="s">
        <v>63</v>
      </c>
      <c r="J20" s="10" t="s">
        <v>150</v>
      </c>
      <c r="K20" s="10">
        <v>4</v>
      </c>
      <c r="L20" s="12">
        <v>260</v>
      </c>
      <c r="M20" s="12">
        <v>155</v>
      </c>
      <c r="N20" s="13">
        <v>0.15</v>
      </c>
    </row>
    <row r="21" spans="1:14">
      <c r="A21" s="10" t="s">
        <v>328</v>
      </c>
      <c r="B21" s="11">
        <v>46119</v>
      </c>
      <c r="C21" s="10" t="s">
        <v>51</v>
      </c>
      <c r="D21" s="10" t="s">
        <v>52</v>
      </c>
      <c r="E21" s="10" t="s">
        <v>50</v>
      </c>
      <c r="F21" s="10" t="s">
        <v>173</v>
      </c>
      <c r="G21" s="10" t="s">
        <v>124</v>
      </c>
      <c r="H21" s="10" t="s">
        <v>125</v>
      </c>
      <c r="I21" s="10" t="s">
        <v>58</v>
      </c>
      <c r="J21" s="10" t="s">
        <v>153</v>
      </c>
      <c r="K21" s="10">
        <v>4</v>
      </c>
      <c r="L21" s="12">
        <v>130</v>
      </c>
      <c r="M21" s="12">
        <v>65</v>
      </c>
      <c r="N21" s="13">
        <v>0.15</v>
      </c>
    </row>
    <row r="22" spans="1:14">
      <c r="A22" s="10" t="s">
        <v>506</v>
      </c>
      <c r="B22" s="11">
        <v>46040</v>
      </c>
      <c r="C22" s="10" t="s">
        <v>44</v>
      </c>
      <c r="D22" s="10" t="s">
        <v>45</v>
      </c>
      <c r="E22" s="10" t="s">
        <v>43</v>
      </c>
      <c r="F22" s="10" t="s">
        <v>175</v>
      </c>
      <c r="G22" s="10" t="s">
        <v>88</v>
      </c>
      <c r="H22" s="10" t="s">
        <v>89</v>
      </c>
      <c r="I22" s="10" t="s">
        <v>58</v>
      </c>
      <c r="J22" s="10" t="s">
        <v>150</v>
      </c>
      <c r="K22" s="10">
        <v>2</v>
      </c>
      <c r="L22" s="12">
        <v>20</v>
      </c>
      <c r="M22" s="12">
        <v>7</v>
      </c>
      <c r="N22" s="13">
        <v>0.05</v>
      </c>
    </row>
    <row r="23" spans="1:14">
      <c r="A23" s="10" t="s">
        <v>367</v>
      </c>
      <c r="B23" s="11">
        <v>46115</v>
      </c>
      <c r="C23" s="10" t="s">
        <v>48</v>
      </c>
      <c r="D23" s="10" t="s">
        <v>49</v>
      </c>
      <c r="E23" s="10" t="s">
        <v>50</v>
      </c>
      <c r="F23" s="10" t="s">
        <v>173</v>
      </c>
      <c r="G23" s="10" t="s">
        <v>96</v>
      </c>
      <c r="H23" s="10" t="s">
        <v>97</v>
      </c>
      <c r="I23" s="10" t="s">
        <v>58</v>
      </c>
      <c r="J23" s="10" t="s">
        <v>151</v>
      </c>
      <c r="K23" s="10">
        <v>2</v>
      </c>
      <c r="L23" s="12">
        <v>161.5</v>
      </c>
      <c r="M23" s="12">
        <v>95</v>
      </c>
      <c r="N23" s="13">
        <v>0.15</v>
      </c>
    </row>
    <row r="24" spans="1:14">
      <c r="A24" s="10" t="s">
        <v>529</v>
      </c>
      <c r="B24" s="11">
        <v>46050</v>
      </c>
      <c r="C24" s="10" t="s">
        <v>44</v>
      </c>
      <c r="D24" s="10" t="s">
        <v>45</v>
      </c>
      <c r="E24" s="10" t="s">
        <v>43</v>
      </c>
      <c r="F24" s="10" t="s">
        <v>171</v>
      </c>
      <c r="G24" s="10" t="s">
        <v>70</v>
      </c>
      <c r="H24" s="10" t="s">
        <v>71</v>
      </c>
      <c r="I24" s="10" t="s">
        <v>58</v>
      </c>
      <c r="J24" s="10" t="s">
        <v>150</v>
      </c>
      <c r="K24" s="10">
        <v>1</v>
      </c>
      <c r="L24" s="12">
        <v>20</v>
      </c>
      <c r="M24" s="12">
        <v>7</v>
      </c>
      <c r="N24" s="13">
        <v>0.15</v>
      </c>
    </row>
    <row r="25" spans="1:14">
      <c r="A25" s="10" t="s">
        <v>530</v>
      </c>
      <c r="B25" s="11">
        <v>46035</v>
      </c>
      <c r="C25" s="10" t="s">
        <v>44</v>
      </c>
      <c r="D25" s="10" t="s">
        <v>45</v>
      </c>
      <c r="E25" s="10" t="s">
        <v>43</v>
      </c>
      <c r="F25" s="10" t="s">
        <v>173</v>
      </c>
      <c r="G25" s="10" t="s">
        <v>72</v>
      </c>
      <c r="H25" s="10" t="s">
        <v>73</v>
      </c>
      <c r="I25" s="10" t="s">
        <v>58</v>
      </c>
      <c r="J25" s="10" t="s">
        <v>152</v>
      </c>
      <c r="K25" s="10">
        <v>1</v>
      </c>
      <c r="L25" s="12">
        <v>20</v>
      </c>
      <c r="M25" s="12">
        <v>7</v>
      </c>
      <c r="N25" s="13">
        <v>0.15</v>
      </c>
    </row>
    <row r="26" spans="1:14">
      <c r="A26" s="10" t="s">
        <v>189</v>
      </c>
      <c r="B26" s="11">
        <v>46185</v>
      </c>
      <c r="C26" s="10" t="s">
        <v>34</v>
      </c>
      <c r="D26" s="10" t="s">
        <v>35</v>
      </c>
      <c r="E26" s="10" t="s">
        <v>36</v>
      </c>
      <c r="F26" s="10" t="s">
        <v>178</v>
      </c>
      <c r="G26" s="10" t="s">
        <v>92</v>
      </c>
      <c r="H26" s="10" t="s">
        <v>93</v>
      </c>
      <c r="I26" s="10" t="s">
        <v>63</v>
      </c>
      <c r="J26" s="10" t="s">
        <v>539</v>
      </c>
      <c r="K26" s="10">
        <v>4</v>
      </c>
      <c r="L26" s="12">
        <v>617.5</v>
      </c>
      <c r="M26" s="12">
        <v>430</v>
      </c>
      <c r="N26" s="13">
        <v>0.1</v>
      </c>
    </row>
    <row r="27" spans="1:14">
      <c r="A27" s="10" t="s">
        <v>376</v>
      </c>
      <c r="B27" s="11">
        <v>46030</v>
      </c>
      <c r="C27" s="10" t="s">
        <v>51</v>
      </c>
      <c r="D27" s="10" t="s">
        <v>52</v>
      </c>
      <c r="E27" s="10" t="s">
        <v>50</v>
      </c>
      <c r="F27" s="10" t="s">
        <v>171</v>
      </c>
      <c r="G27" s="10" t="s">
        <v>96</v>
      </c>
      <c r="H27" s="10" t="s">
        <v>97</v>
      </c>
      <c r="I27" s="10" t="s">
        <v>58</v>
      </c>
      <c r="J27" s="10" t="s">
        <v>153</v>
      </c>
      <c r="K27" s="10">
        <v>2</v>
      </c>
      <c r="L27" s="12">
        <v>130</v>
      </c>
      <c r="M27" s="12">
        <v>65</v>
      </c>
      <c r="N27" s="13">
        <v>0</v>
      </c>
    </row>
    <row r="28" spans="1:14">
      <c r="A28" s="10" t="s">
        <v>309</v>
      </c>
      <c r="B28" s="11">
        <v>46058</v>
      </c>
      <c r="C28" s="10" t="s">
        <v>48</v>
      </c>
      <c r="D28" s="10" t="s">
        <v>49</v>
      </c>
      <c r="E28" s="10" t="s">
        <v>50</v>
      </c>
      <c r="F28" s="10" t="s">
        <v>171</v>
      </c>
      <c r="G28" s="10" t="s">
        <v>90</v>
      </c>
      <c r="H28" s="10" t="s">
        <v>91</v>
      </c>
      <c r="I28" s="10" t="s">
        <v>58</v>
      </c>
      <c r="J28" s="10" t="s">
        <v>150</v>
      </c>
      <c r="K28" s="10">
        <v>3</v>
      </c>
      <c r="L28" s="12">
        <v>170</v>
      </c>
      <c r="M28" s="12">
        <v>95</v>
      </c>
      <c r="N28" s="13">
        <v>0</v>
      </c>
    </row>
    <row r="29" spans="1:14">
      <c r="A29" s="10" t="s">
        <v>198</v>
      </c>
      <c r="B29" s="11">
        <v>46128</v>
      </c>
      <c r="C29" s="10" t="s">
        <v>34</v>
      </c>
      <c r="D29" s="10" t="s">
        <v>35</v>
      </c>
      <c r="E29" s="10" t="s">
        <v>36</v>
      </c>
      <c r="F29" s="10" t="s">
        <v>171</v>
      </c>
      <c r="G29" s="10" t="s">
        <v>82</v>
      </c>
      <c r="H29" s="10" t="s">
        <v>83</v>
      </c>
      <c r="I29" s="10" t="s">
        <v>58</v>
      </c>
      <c r="J29" s="10" t="s">
        <v>153</v>
      </c>
      <c r="K29" s="10">
        <v>3</v>
      </c>
      <c r="L29" s="12">
        <v>682.5</v>
      </c>
      <c r="M29" s="12">
        <v>430</v>
      </c>
      <c r="N29" s="13">
        <v>0.05</v>
      </c>
    </row>
    <row r="30" spans="1:14">
      <c r="A30" s="10" t="s">
        <v>393</v>
      </c>
      <c r="B30" s="11">
        <v>46032</v>
      </c>
      <c r="C30" s="10" t="s">
        <v>46</v>
      </c>
      <c r="D30" s="10" t="s">
        <v>47</v>
      </c>
      <c r="E30" s="10" t="s">
        <v>43</v>
      </c>
      <c r="F30" s="10" t="s">
        <v>178</v>
      </c>
      <c r="G30" s="10" t="s">
        <v>88</v>
      </c>
      <c r="H30" s="10" t="s">
        <v>89</v>
      </c>
      <c r="I30" s="10" t="s">
        <v>58</v>
      </c>
      <c r="J30" s="10" t="s">
        <v>152</v>
      </c>
      <c r="K30" s="10">
        <v>4</v>
      </c>
      <c r="L30" s="12">
        <v>57.75</v>
      </c>
      <c r="M30" s="12">
        <v>22</v>
      </c>
      <c r="N30" s="13">
        <v>0</v>
      </c>
    </row>
    <row r="31" spans="1:14">
      <c r="A31" s="10" t="s">
        <v>401</v>
      </c>
      <c r="B31" s="11">
        <v>46114</v>
      </c>
      <c r="C31" s="10" t="s">
        <v>41</v>
      </c>
      <c r="D31" s="10" t="s">
        <v>42</v>
      </c>
      <c r="E31" s="10" t="s">
        <v>43</v>
      </c>
      <c r="F31" s="10" t="s">
        <v>175</v>
      </c>
      <c r="G31" s="10" t="s">
        <v>80</v>
      </c>
      <c r="H31" s="10" t="s">
        <v>81</v>
      </c>
      <c r="I31" s="10" t="s">
        <v>63</v>
      </c>
      <c r="J31" s="10" t="s">
        <v>151</v>
      </c>
      <c r="K31" s="10">
        <v>6</v>
      </c>
      <c r="L31" s="12">
        <v>35</v>
      </c>
      <c r="M31" s="12">
        <v>14</v>
      </c>
      <c r="N31" s="13">
        <v>0.05</v>
      </c>
    </row>
    <row r="32" spans="1:14">
      <c r="A32" s="10" t="s">
        <v>239</v>
      </c>
      <c r="B32" s="11">
        <v>46186</v>
      </c>
      <c r="C32" s="10" t="s">
        <v>34</v>
      </c>
      <c r="D32" s="10" t="s">
        <v>35</v>
      </c>
      <c r="E32" s="10" t="s">
        <v>36</v>
      </c>
      <c r="F32" s="10" t="s">
        <v>171</v>
      </c>
      <c r="G32" s="10" t="s">
        <v>59</v>
      </c>
      <c r="H32" s="10" t="s">
        <v>60</v>
      </c>
      <c r="I32" s="10" t="s">
        <v>58</v>
      </c>
      <c r="J32" s="10" t="s">
        <v>151</v>
      </c>
      <c r="K32" s="10">
        <v>2</v>
      </c>
      <c r="L32" s="12">
        <v>650</v>
      </c>
      <c r="M32" s="12">
        <v>430</v>
      </c>
      <c r="N32" s="13">
        <v>0.1</v>
      </c>
    </row>
    <row r="33" spans="1:14">
      <c r="A33" s="10" t="s">
        <v>381</v>
      </c>
      <c r="B33" s="11">
        <v>46037</v>
      </c>
      <c r="C33" s="10" t="s">
        <v>51</v>
      </c>
      <c r="D33" s="10" t="s">
        <v>52</v>
      </c>
      <c r="E33" s="10" t="s">
        <v>50</v>
      </c>
      <c r="F33" s="10" t="s">
        <v>171</v>
      </c>
      <c r="G33" s="10" t="s">
        <v>114</v>
      </c>
      <c r="H33" s="10" t="s">
        <v>115</v>
      </c>
      <c r="I33" s="10" t="s">
        <v>58</v>
      </c>
      <c r="J33" s="10" t="s">
        <v>151</v>
      </c>
      <c r="K33" s="10">
        <v>2</v>
      </c>
      <c r="L33" s="12">
        <v>130</v>
      </c>
      <c r="M33" s="12">
        <v>65</v>
      </c>
      <c r="N33" s="13">
        <v>0.05</v>
      </c>
    </row>
    <row r="34" spans="1:14">
      <c r="A34" s="10" t="s">
        <v>312</v>
      </c>
      <c r="B34" s="11">
        <v>46107</v>
      </c>
      <c r="C34" s="10" t="s">
        <v>51</v>
      </c>
      <c r="D34" s="10" t="s">
        <v>52</v>
      </c>
      <c r="E34" s="10"/>
      <c r="F34" s="10" t="s">
        <v>175</v>
      </c>
      <c r="G34" s="10" t="s">
        <v>110</v>
      </c>
      <c r="H34" s="10" t="s">
        <v>111</v>
      </c>
      <c r="I34" s="10" t="s">
        <v>63</v>
      </c>
      <c r="J34" s="10" t="s">
        <v>150</v>
      </c>
      <c r="K34" s="10">
        <v>4</v>
      </c>
      <c r="L34" s="12">
        <v>123.5</v>
      </c>
      <c r="M34" s="12">
        <v>65</v>
      </c>
      <c r="N34" s="13">
        <v>0</v>
      </c>
    </row>
    <row r="35" spans="1:14">
      <c r="A35" s="10" t="s">
        <v>481</v>
      </c>
      <c r="B35" s="11">
        <v>46037</v>
      </c>
      <c r="C35" s="10" t="s">
        <v>41</v>
      </c>
      <c r="D35" s="10" t="s">
        <v>42</v>
      </c>
      <c r="E35" s="10" t="s">
        <v>43</v>
      </c>
      <c r="F35" s="10" t="s">
        <v>173</v>
      </c>
      <c r="G35" s="10" t="s">
        <v>124</v>
      </c>
      <c r="H35" s="10" t="s">
        <v>125</v>
      </c>
      <c r="I35" s="10" t="s">
        <v>58</v>
      </c>
      <c r="J35" s="10" t="s">
        <v>152</v>
      </c>
      <c r="K35" s="10">
        <v>2</v>
      </c>
      <c r="L35" s="12">
        <v>36.75</v>
      </c>
      <c r="M35" s="12">
        <v>14</v>
      </c>
      <c r="N35" s="13">
        <v>0</v>
      </c>
    </row>
    <row r="36" spans="1:14">
      <c r="A36" s="10" t="s">
        <v>251</v>
      </c>
      <c r="B36" s="11">
        <v>46202</v>
      </c>
      <c r="C36" s="10" t="s">
        <v>39</v>
      </c>
      <c r="D36" s="10" t="s">
        <v>40</v>
      </c>
      <c r="E36" s="10" t="s">
        <v>36</v>
      </c>
      <c r="F36" s="10" t="s">
        <v>171</v>
      </c>
      <c r="G36" s="10" t="s">
        <v>106</v>
      </c>
      <c r="H36" s="10" t="s">
        <v>107</v>
      </c>
      <c r="I36" s="10" t="s">
        <v>58</v>
      </c>
      <c r="J36" s="10" t="s">
        <v>151</v>
      </c>
      <c r="K36" s="10">
        <v>4</v>
      </c>
      <c r="L36" s="12">
        <v>260</v>
      </c>
      <c r="M36" s="12">
        <v>155</v>
      </c>
      <c r="N36" s="13">
        <v>0.1</v>
      </c>
    </row>
    <row r="37" spans="1:14">
      <c r="A37" s="10" t="s">
        <v>206</v>
      </c>
      <c r="B37" s="11">
        <v>46197</v>
      </c>
      <c r="C37" s="10" t="s">
        <v>39</v>
      </c>
      <c r="D37" s="10" t="s">
        <v>40</v>
      </c>
      <c r="E37" s="10" t="s">
        <v>36</v>
      </c>
      <c r="F37" s="10" t="s">
        <v>173</v>
      </c>
      <c r="G37" s="10" t="s">
        <v>128</v>
      </c>
      <c r="H37" s="10" t="s">
        <v>129</v>
      </c>
      <c r="I37" s="10" t="s">
        <v>63</v>
      </c>
      <c r="J37" s="10" t="s">
        <v>150</v>
      </c>
      <c r="K37" s="10">
        <v>7</v>
      </c>
      <c r="L37" s="12">
        <v>247</v>
      </c>
      <c r="M37" s="12">
        <v>155</v>
      </c>
      <c r="N37" s="13">
        <v>0</v>
      </c>
    </row>
    <row r="38" spans="1:14">
      <c r="A38" s="10" t="s">
        <v>329</v>
      </c>
      <c r="B38" s="11">
        <v>46055</v>
      </c>
      <c r="C38" s="10" t="s">
        <v>39</v>
      </c>
      <c r="D38" s="10" t="s">
        <v>40</v>
      </c>
      <c r="E38" s="10" t="s">
        <v>36</v>
      </c>
      <c r="F38" s="10" t="s">
        <v>540</v>
      </c>
      <c r="G38" s="10" t="s">
        <v>82</v>
      </c>
      <c r="H38" s="10" t="s">
        <v>83</v>
      </c>
      <c r="I38" s="10" t="s">
        <v>58</v>
      </c>
      <c r="J38" s="10" t="s">
        <v>152</v>
      </c>
      <c r="K38" s="10">
        <v>2</v>
      </c>
      <c r="L38" s="12">
        <v>260</v>
      </c>
      <c r="M38" s="12">
        <v>155</v>
      </c>
      <c r="N38" s="13">
        <v>0.15</v>
      </c>
    </row>
    <row r="39" spans="1:14">
      <c r="A39" s="10" t="s">
        <v>429</v>
      </c>
      <c r="B39" s="11">
        <v>46060</v>
      </c>
      <c r="C39" s="10" t="s">
        <v>46</v>
      </c>
      <c r="D39" s="10" t="s">
        <v>47</v>
      </c>
      <c r="E39" s="10" t="s">
        <v>43</v>
      </c>
      <c r="F39" s="10" t="s">
        <v>175</v>
      </c>
      <c r="G39" s="10" t="s">
        <v>94</v>
      </c>
      <c r="H39" s="10" t="s">
        <v>95</v>
      </c>
      <c r="I39" s="10" t="s">
        <v>58</v>
      </c>
      <c r="J39" s="10" t="s">
        <v>152</v>
      </c>
      <c r="K39" s="10">
        <v>3</v>
      </c>
      <c r="L39" s="12">
        <v>55</v>
      </c>
      <c r="M39" s="12">
        <v>22</v>
      </c>
      <c r="N39" s="13">
        <v>0.1</v>
      </c>
    </row>
    <row r="40" spans="1:14">
      <c r="A40" s="10" t="s">
        <v>345</v>
      </c>
      <c r="B40" s="11">
        <v>46033</v>
      </c>
      <c r="C40" s="10" t="s">
        <v>37</v>
      </c>
      <c r="D40" s="10" t="s">
        <v>38</v>
      </c>
      <c r="E40" s="10" t="s">
        <v>36</v>
      </c>
      <c r="F40" s="10" t="s">
        <v>175</v>
      </c>
      <c r="G40" s="10" t="s">
        <v>84</v>
      </c>
      <c r="H40" s="10" t="s">
        <v>85</v>
      </c>
      <c r="I40" s="10" t="s">
        <v>58</v>
      </c>
      <c r="J40" s="10" t="s">
        <v>150</v>
      </c>
      <c r="K40" s="10">
        <v>2</v>
      </c>
      <c r="L40" s="12">
        <v>180</v>
      </c>
      <c r="M40" s="12">
        <v>95</v>
      </c>
      <c r="N40" s="13">
        <v>0</v>
      </c>
    </row>
    <row r="41" spans="1:14">
      <c r="A41" s="10" t="s">
        <v>345</v>
      </c>
      <c r="B41" s="11">
        <v>46033</v>
      </c>
      <c r="C41" s="10" t="s">
        <v>37</v>
      </c>
      <c r="D41" s="10" t="s">
        <v>38</v>
      </c>
      <c r="E41" s="10" t="s">
        <v>36</v>
      </c>
      <c r="F41" s="10" t="s">
        <v>175</v>
      </c>
      <c r="G41" s="10" t="s">
        <v>84</v>
      </c>
      <c r="H41" s="10" t="s">
        <v>85</v>
      </c>
      <c r="I41" s="10" t="s">
        <v>58</v>
      </c>
      <c r="J41" s="10" t="s">
        <v>150</v>
      </c>
      <c r="K41" s="10">
        <v>2</v>
      </c>
      <c r="L41" s="12">
        <v>180</v>
      </c>
      <c r="M41" s="12">
        <v>95</v>
      </c>
      <c r="N41" s="13">
        <v>0</v>
      </c>
    </row>
    <row r="42" spans="1:14">
      <c r="A42" s="10" t="s">
        <v>471</v>
      </c>
      <c r="B42" s="11">
        <v>46121</v>
      </c>
      <c r="C42" s="10" t="s">
        <v>41</v>
      </c>
      <c r="D42" s="10" t="s">
        <v>42</v>
      </c>
      <c r="E42" s="10" t="s">
        <v>43</v>
      </c>
      <c r="F42" s="10" t="s">
        <v>178</v>
      </c>
      <c r="G42" s="10" t="s">
        <v>106</v>
      </c>
      <c r="H42" s="10" t="s">
        <v>107</v>
      </c>
      <c r="I42" s="10" t="s">
        <v>58</v>
      </c>
      <c r="J42" s="10" t="s">
        <v>151</v>
      </c>
      <c r="K42" s="10">
        <v>3</v>
      </c>
      <c r="L42" s="12">
        <v>35</v>
      </c>
      <c r="M42" s="12">
        <v>14</v>
      </c>
      <c r="N42" s="13">
        <v>0.15</v>
      </c>
    </row>
    <row r="43" spans="1:14">
      <c r="A43" s="10" t="s">
        <v>322</v>
      </c>
      <c r="B43" s="11">
        <v>46199</v>
      </c>
      <c r="C43" s="10" t="s">
        <v>37</v>
      </c>
      <c r="D43" s="10" t="s">
        <v>38</v>
      </c>
      <c r="E43" s="10" t="s">
        <v>36</v>
      </c>
      <c r="F43" s="10" t="s">
        <v>178</v>
      </c>
      <c r="G43" s="10" t="s">
        <v>82</v>
      </c>
      <c r="H43" s="10" t="s">
        <v>83</v>
      </c>
      <c r="I43" s="10" t="s">
        <v>58</v>
      </c>
      <c r="J43" s="10" t="s">
        <v>150</v>
      </c>
      <c r="K43" s="10">
        <v>3</v>
      </c>
      <c r="L43" s="12">
        <v>171</v>
      </c>
      <c r="M43" s="12">
        <v>95</v>
      </c>
      <c r="N43" s="13">
        <v>0.05</v>
      </c>
    </row>
    <row r="44" spans="1:14">
      <c r="A44" s="10" t="s">
        <v>455</v>
      </c>
      <c r="B44" s="11">
        <v>46071</v>
      </c>
      <c r="C44" s="10" t="s">
        <v>46</v>
      </c>
      <c r="D44" s="10" t="s">
        <v>47</v>
      </c>
      <c r="E44" s="10" t="s">
        <v>43</v>
      </c>
      <c r="F44" s="10" t="s">
        <v>175</v>
      </c>
      <c r="G44" s="10" t="s">
        <v>110</v>
      </c>
      <c r="H44" s="10" t="s">
        <v>111</v>
      </c>
      <c r="I44" s="10" t="s">
        <v>63</v>
      </c>
      <c r="J44" s="10" t="s">
        <v>150</v>
      </c>
      <c r="K44" s="10">
        <v>2</v>
      </c>
      <c r="L44" s="12">
        <v>52.25</v>
      </c>
      <c r="M44" s="12">
        <v>22</v>
      </c>
      <c r="N44" s="13">
        <v>0</v>
      </c>
    </row>
    <row r="45" spans="1:14">
      <c r="A45" s="10" t="s">
        <v>333</v>
      </c>
      <c r="B45" s="11">
        <v>46115</v>
      </c>
      <c r="C45" s="10" t="s">
        <v>41</v>
      </c>
      <c r="D45" s="10" t="s">
        <v>42</v>
      </c>
      <c r="E45" s="10" t="s">
        <v>43</v>
      </c>
      <c r="F45" s="10" t="s">
        <v>171</v>
      </c>
      <c r="G45" s="10" t="s">
        <v>61</v>
      </c>
      <c r="H45" s="10"/>
      <c r="I45" s="10" t="s">
        <v>63</v>
      </c>
      <c r="J45" s="10" t="s">
        <v>151</v>
      </c>
      <c r="K45" s="10">
        <v>12</v>
      </c>
      <c r="L45" s="12">
        <v>36.75</v>
      </c>
      <c r="M45" s="12">
        <v>14</v>
      </c>
      <c r="N45" s="13">
        <v>0</v>
      </c>
    </row>
    <row r="46" spans="1:14">
      <c r="A46" s="10" t="s">
        <v>200</v>
      </c>
      <c r="B46" s="11">
        <v>46179</v>
      </c>
      <c r="C46" s="10" t="s">
        <v>48</v>
      </c>
      <c r="D46" s="10" t="s">
        <v>49</v>
      </c>
      <c r="E46" s="10" t="s">
        <v>50</v>
      </c>
      <c r="F46" s="10" t="s">
        <v>173</v>
      </c>
      <c r="G46" s="10" t="s">
        <v>68</v>
      </c>
      <c r="H46" s="10" t="s">
        <v>69</v>
      </c>
      <c r="I46" s="10" t="s">
        <v>63</v>
      </c>
      <c r="J46" s="10" t="s">
        <v>152</v>
      </c>
      <c r="K46" s="10">
        <v>11</v>
      </c>
      <c r="L46" s="12">
        <v>170</v>
      </c>
      <c r="M46" s="12">
        <v>95</v>
      </c>
      <c r="N46" s="13">
        <v>0</v>
      </c>
    </row>
    <row r="47" spans="1:14">
      <c r="A47" s="10" t="s">
        <v>182</v>
      </c>
      <c r="B47" s="11">
        <v>46100</v>
      </c>
      <c r="C47" s="10" t="s">
        <v>34</v>
      </c>
      <c r="D47" s="10" t="s">
        <v>35</v>
      </c>
      <c r="E47" s="10" t="s">
        <v>36</v>
      </c>
      <c r="F47" s="10" t="s">
        <v>173</v>
      </c>
      <c r="G47" s="10" t="s">
        <v>96</v>
      </c>
      <c r="H47" s="10" t="s">
        <v>97</v>
      </c>
      <c r="I47" s="10" t="s">
        <v>58</v>
      </c>
      <c r="J47" s="10" t="s">
        <v>150</v>
      </c>
      <c r="K47" s="10">
        <v>4</v>
      </c>
      <c r="L47" s="12">
        <v>650</v>
      </c>
      <c r="M47" s="12">
        <v>430</v>
      </c>
      <c r="N47" s="13">
        <v>0</v>
      </c>
    </row>
    <row r="48" spans="1:14">
      <c r="A48" s="10" t="s">
        <v>466</v>
      </c>
      <c r="B48" s="11">
        <v>46170</v>
      </c>
      <c r="C48" s="10" t="s">
        <v>41</v>
      </c>
      <c r="D48" s="10" t="s">
        <v>42</v>
      </c>
      <c r="E48" s="10" t="s">
        <v>43</v>
      </c>
      <c r="F48" s="10" t="s">
        <v>171</v>
      </c>
      <c r="G48" s="10" t="s">
        <v>90</v>
      </c>
      <c r="H48" s="10" t="s">
        <v>91</v>
      </c>
      <c r="I48" s="10" t="s">
        <v>58</v>
      </c>
      <c r="J48" s="10" t="s">
        <v>152</v>
      </c>
      <c r="K48" s="10">
        <v>3</v>
      </c>
      <c r="L48" s="12">
        <v>36.75</v>
      </c>
      <c r="M48" s="12">
        <v>14</v>
      </c>
      <c r="N48" s="13">
        <v>0.15</v>
      </c>
    </row>
    <row r="49" spans="1:14">
      <c r="A49" s="10" t="s">
        <v>531</v>
      </c>
      <c r="B49" s="11">
        <v>46133</v>
      </c>
      <c r="C49" s="10" t="s">
        <v>44</v>
      </c>
      <c r="D49" s="10" t="s">
        <v>45</v>
      </c>
      <c r="E49" s="10" t="s">
        <v>43</v>
      </c>
      <c r="F49" s="10" t="s">
        <v>175</v>
      </c>
      <c r="G49" s="10" t="s">
        <v>136</v>
      </c>
      <c r="H49" s="10" t="s">
        <v>137</v>
      </c>
      <c r="I49" s="10" t="s">
        <v>58</v>
      </c>
      <c r="J49" s="10" t="s">
        <v>151</v>
      </c>
      <c r="K49" s="10">
        <v>1</v>
      </c>
      <c r="L49" s="12">
        <v>20</v>
      </c>
      <c r="M49" s="12">
        <v>7</v>
      </c>
      <c r="N49" s="13">
        <v>0.15</v>
      </c>
    </row>
    <row r="50" spans="1:14">
      <c r="A50" s="10" t="s">
        <v>202</v>
      </c>
      <c r="B50" s="11">
        <v>46149</v>
      </c>
      <c r="C50" s="10" t="s">
        <v>39</v>
      </c>
      <c r="D50" s="10" t="s">
        <v>40</v>
      </c>
      <c r="E50" s="10" t="s">
        <v>36</v>
      </c>
      <c r="F50" s="10" t="s">
        <v>171</v>
      </c>
      <c r="G50" s="10" t="s">
        <v>68</v>
      </c>
      <c r="H50" s="10" t="s">
        <v>69</v>
      </c>
      <c r="I50" s="10" t="s">
        <v>63</v>
      </c>
      <c r="J50" s="10" t="s">
        <v>150</v>
      </c>
      <c r="K50" s="10">
        <v>7</v>
      </c>
      <c r="L50" s="12">
        <v>260</v>
      </c>
      <c r="M50" s="12">
        <v>155</v>
      </c>
      <c r="N50" s="13">
        <v>0</v>
      </c>
    </row>
    <row r="51" spans="1:14">
      <c r="A51" s="10" t="s">
        <v>460</v>
      </c>
      <c r="B51" s="11">
        <v>46113</v>
      </c>
      <c r="C51" s="10" t="s">
        <v>41</v>
      </c>
      <c r="D51" s="10" t="s">
        <v>42</v>
      </c>
      <c r="E51" s="10" t="s">
        <v>43</v>
      </c>
      <c r="F51" s="10" t="s">
        <v>178</v>
      </c>
      <c r="G51" s="10" t="s">
        <v>80</v>
      </c>
      <c r="H51" s="10" t="s">
        <v>81</v>
      </c>
      <c r="I51" s="10" t="s">
        <v>63</v>
      </c>
      <c r="J51" s="10" t="s">
        <v>153</v>
      </c>
      <c r="K51" s="10">
        <v>3</v>
      </c>
      <c r="L51" s="12">
        <v>33.25</v>
      </c>
      <c r="M51" s="12">
        <v>14</v>
      </c>
      <c r="N51" s="13">
        <v>0</v>
      </c>
    </row>
    <row r="52" spans="1:14">
      <c r="A52" s="10" t="s">
        <v>191</v>
      </c>
      <c r="B52" s="11">
        <v>46093</v>
      </c>
      <c r="C52" s="10" t="s">
        <v>34</v>
      </c>
      <c r="D52" s="10" t="s">
        <v>35</v>
      </c>
      <c r="E52" s="10" t="s">
        <v>36</v>
      </c>
      <c r="F52" s="10" t="s">
        <v>178</v>
      </c>
      <c r="G52" s="10" t="s">
        <v>66</v>
      </c>
      <c r="H52" s="10" t="s">
        <v>67</v>
      </c>
      <c r="I52" s="10" t="s">
        <v>58</v>
      </c>
      <c r="J52" s="10" t="s">
        <v>151</v>
      </c>
      <c r="K52" s="10">
        <v>4</v>
      </c>
      <c r="L52" s="12">
        <v>617.5</v>
      </c>
      <c r="M52" s="12">
        <v>430</v>
      </c>
      <c r="N52" s="13">
        <v>0.15</v>
      </c>
    </row>
    <row r="53" spans="1:14">
      <c r="A53" s="10" t="s">
        <v>398</v>
      </c>
      <c r="B53" s="11">
        <v>46077</v>
      </c>
      <c r="C53" s="10" t="s">
        <v>46</v>
      </c>
      <c r="D53" s="10" t="s">
        <v>47</v>
      </c>
      <c r="E53" s="10" t="s">
        <v>43</v>
      </c>
      <c r="F53" s="10" t="s">
        <v>173</v>
      </c>
      <c r="G53" s="10" t="s">
        <v>84</v>
      </c>
      <c r="H53" s="10" t="s">
        <v>85</v>
      </c>
      <c r="I53" s="10" t="s">
        <v>58</v>
      </c>
      <c r="J53" s="10" t="s">
        <v>153</v>
      </c>
      <c r="K53" s="10">
        <v>4</v>
      </c>
      <c r="L53" s="12">
        <v>52.25</v>
      </c>
      <c r="M53" s="12">
        <v>22</v>
      </c>
      <c r="N53" s="13">
        <v>0</v>
      </c>
    </row>
    <row r="54" spans="1:14">
      <c r="A54" s="10" t="s">
        <v>340</v>
      </c>
      <c r="B54" s="11">
        <v>46115</v>
      </c>
      <c r="C54" s="10" t="s">
        <v>51</v>
      </c>
      <c r="D54" s="10" t="s">
        <v>52</v>
      </c>
      <c r="E54" s="10" t="s">
        <v>50</v>
      </c>
      <c r="F54" s="10" t="s">
        <v>173</v>
      </c>
      <c r="G54" s="10" t="s">
        <v>82</v>
      </c>
      <c r="H54" s="10" t="s">
        <v>83</v>
      </c>
      <c r="I54" s="10" t="s">
        <v>58</v>
      </c>
      <c r="J54" s="10" t="s">
        <v>150</v>
      </c>
      <c r="K54" s="10">
        <v>3</v>
      </c>
      <c r="L54" s="12">
        <v>136.5</v>
      </c>
      <c r="M54" s="12"/>
      <c r="N54" s="13">
        <v>0.05</v>
      </c>
    </row>
    <row r="55" spans="1:14">
      <c r="A55" s="10" t="s">
        <v>482</v>
      </c>
      <c r="B55" s="11">
        <v>46093</v>
      </c>
      <c r="C55" s="10" t="s">
        <v>41</v>
      </c>
      <c r="D55" s="10" t="s">
        <v>42</v>
      </c>
      <c r="E55" s="10" t="s">
        <v>43</v>
      </c>
      <c r="F55" s="10" t="s">
        <v>171</v>
      </c>
      <c r="G55" s="10" t="s">
        <v>92</v>
      </c>
      <c r="H55" s="10" t="s">
        <v>93</v>
      </c>
      <c r="I55" s="10" t="s">
        <v>63</v>
      </c>
      <c r="J55" s="10" t="s">
        <v>152</v>
      </c>
      <c r="K55" s="10">
        <v>2</v>
      </c>
      <c r="L55" s="12">
        <v>36.75</v>
      </c>
      <c r="M55" s="12">
        <v>14</v>
      </c>
      <c r="N55" s="13">
        <v>0</v>
      </c>
    </row>
    <row r="56" spans="1:14">
      <c r="A56" s="10" t="s">
        <v>192</v>
      </c>
      <c r="B56" s="11">
        <v>46184</v>
      </c>
      <c r="C56" s="10" t="s">
        <v>34</v>
      </c>
      <c r="D56" s="10" t="s">
        <v>35</v>
      </c>
      <c r="E56" s="10" t="s">
        <v>36</v>
      </c>
      <c r="F56" s="10" t="s">
        <v>171</v>
      </c>
      <c r="G56" s="10" t="s">
        <v>130</v>
      </c>
      <c r="H56" s="10" t="s">
        <v>131</v>
      </c>
      <c r="I56" s="10" t="s">
        <v>58</v>
      </c>
      <c r="J56" s="10" t="s">
        <v>152</v>
      </c>
      <c r="K56" s="10">
        <v>3</v>
      </c>
      <c r="L56" s="12">
        <v>682.5</v>
      </c>
      <c r="M56" s="12">
        <v>430</v>
      </c>
      <c r="N56" s="13">
        <v>0</v>
      </c>
    </row>
    <row r="57" spans="1:14">
      <c r="A57" s="10" t="s">
        <v>366</v>
      </c>
      <c r="B57" s="11">
        <v>46065</v>
      </c>
      <c r="C57" s="10" t="s">
        <v>46</v>
      </c>
      <c r="D57" s="10" t="s">
        <v>47</v>
      </c>
      <c r="E57" s="10" t="s">
        <v>43</v>
      </c>
      <c r="F57" s="10" t="s">
        <v>173</v>
      </c>
      <c r="G57" s="10" t="s">
        <v>134</v>
      </c>
      <c r="H57" s="10" t="s">
        <v>135</v>
      </c>
      <c r="I57" s="10" t="s">
        <v>63</v>
      </c>
      <c r="J57" s="10" t="s">
        <v>151</v>
      </c>
      <c r="K57" s="10">
        <v>5</v>
      </c>
      <c r="L57" s="12">
        <v>55</v>
      </c>
      <c r="M57" s="12">
        <v>22</v>
      </c>
      <c r="N57" s="13">
        <v>0</v>
      </c>
    </row>
    <row r="58" spans="1:14">
      <c r="A58" s="10" t="s">
        <v>241</v>
      </c>
      <c r="B58" s="11">
        <v>46124</v>
      </c>
      <c r="C58" s="10" t="s">
        <v>34</v>
      </c>
      <c r="D58" s="10" t="s">
        <v>541</v>
      </c>
      <c r="E58" s="10" t="s">
        <v>36</v>
      </c>
      <c r="F58" s="10" t="s">
        <v>173</v>
      </c>
      <c r="G58" s="10" t="s">
        <v>66</v>
      </c>
      <c r="H58" s="10" t="s">
        <v>67</v>
      </c>
      <c r="I58" s="10" t="s">
        <v>58</v>
      </c>
      <c r="J58" s="10" t="s">
        <v>153</v>
      </c>
      <c r="K58" s="10">
        <v>2</v>
      </c>
      <c r="L58" s="12">
        <v>617.5</v>
      </c>
      <c r="M58" s="12">
        <v>430</v>
      </c>
      <c r="N58" s="13">
        <v>0.1</v>
      </c>
    </row>
    <row r="59" spans="1:14">
      <c r="A59" s="10" t="s">
        <v>327</v>
      </c>
      <c r="B59" s="11">
        <v>46030</v>
      </c>
      <c r="C59" s="10" t="s">
        <v>48</v>
      </c>
      <c r="D59" s="10" t="s">
        <v>49</v>
      </c>
      <c r="E59" s="10" t="s">
        <v>50</v>
      </c>
      <c r="F59" s="10" t="s">
        <v>171</v>
      </c>
      <c r="G59" s="10" t="s">
        <v>130</v>
      </c>
      <c r="H59" s="10" t="s">
        <v>131</v>
      </c>
      <c r="I59" s="10" t="s">
        <v>58</v>
      </c>
      <c r="J59" s="10" t="s">
        <v>151</v>
      </c>
      <c r="K59" s="10">
        <v>3</v>
      </c>
      <c r="L59" s="12">
        <v>170</v>
      </c>
      <c r="M59" s="12">
        <v>95</v>
      </c>
      <c r="N59" s="13">
        <v>0.1</v>
      </c>
    </row>
    <row r="60" spans="1:14">
      <c r="A60" s="10" t="s">
        <v>402</v>
      </c>
      <c r="B60" s="11">
        <v>46148</v>
      </c>
      <c r="C60" s="10" t="s">
        <v>41</v>
      </c>
      <c r="D60" s="10" t="s">
        <v>42</v>
      </c>
      <c r="E60" s="10" t="s">
        <v>43</v>
      </c>
      <c r="F60" s="10" t="s">
        <v>171</v>
      </c>
      <c r="G60" s="10" t="s">
        <v>104</v>
      </c>
      <c r="H60" s="10" t="s">
        <v>105</v>
      </c>
      <c r="I60" s="10" t="s">
        <v>63</v>
      </c>
      <c r="J60" s="10" t="s">
        <v>153</v>
      </c>
      <c r="K60" s="10">
        <v>6</v>
      </c>
      <c r="L60" s="12">
        <v>33.25</v>
      </c>
      <c r="M60" s="12">
        <v>14</v>
      </c>
      <c r="N60" s="13">
        <v>0</v>
      </c>
    </row>
    <row r="61" spans="1:14">
      <c r="A61" s="10" t="s">
        <v>494</v>
      </c>
      <c r="B61" s="11">
        <v>46041</v>
      </c>
      <c r="C61" s="10" t="s">
        <v>41</v>
      </c>
      <c r="D61" s="10" t="s">
        <v>42</v>
      </c>
      <c r="E61" s="10" t="s">
        <v>43</v>
      </c>
      <c r="F61" s="10" t="s">
        <v>171</v>
      </c>
      <c r="G61" s="10" t="s">
        <v>102</v>
      </c>
      <c r="H61" s="10" t="s">
        <v>103</v>
      </c>
      <c r="I61" s="10" t="s">
        <v>58</v>
      </c>
      <c r="J61" s="10" t="s">
        <v>152</v>
      </c>
      <c r="K61" s="10">
        <v>2</v>
      </c>
      <c r="L61" s="12">
        <v>33.25</v>
      </c>
      <c r="M61" s="12">
        <v>14</v>
      </c>
      <c r="N61" s="13">
        <v>0.15</v>
      </c>
    </row>
    <row r="62" spans="1:14">
      <c r="A62" s="10" t="s">
        <v>344</v>
      </c>
      <c r="B62" s="11">
        <v>46069</v>
      </c>
      <c r="C62" s="10" t="s">
        <v>41</v>
      </c>
      <c r="D62" s="10" t="s">
        <v>42</v>
      </c>
      <c r="E62" s="10" t="s">
        <v>43</v>
      </c>
      <c r="F62" s="10" t="s">
        <v>173</v>
      </c>
      <c r="G62" s="10" t="s">
        <v>116</v>
      </c>
      <c r="H62" s="10" t="s">
        <v>117</v>
      </c>
      <c r="I62" s="10" t="s">
        <v>63</v>
      </c>
      <c r="J62" s="10" t="s">
        <v>151</v>
      </c>
      <c r="K62" s="10">
        <v>11</v>
      </c>
      <c r="L62" s="12">
        <v>33.25</v>
      </c>
      <c r="M62" s="12">
        <v>14</v>
      </c>
      <c r="N62" s="13">
        <v>0</v>
      </c>
    </row>
    <row r="63" spans="1:14">
      <c r="A63" s="10" t="s">
        <v>404</v>
      </c>
      <c r="B63" s="11">
        <v>46133</v>
      </c>
      <c r="C63" s="10" t="s">
        <v>37</v>
      </c>
      <c r="D63" s="10" t="s">
        <v>38</v>
      </c>
      <c r="E63" s="10" t="s">
        <v>36</v>
      </c>
      <c r="F63" s="10" t="s">
        <v>175</v>
      </c>
      <c r="G63" s="10" t="s">
        <v>112</v>
      </c>
      <c r="H63" s="10" t="s">
        <v>113</v>
      </c>
      <c r="I63" s="10" t="s">
        <v>58</v>
      </c>
      <c r="J63" s="10" t="s">
        <v>153</v>
      </c>
      <c r="K63" s="10">
        <v>1</v>
      </c>
      <c r="L63" s="12">
        <v>180</v>
      </c>
      <c r="M63" s="12">
        <v>95</v>
      </c>
      <c r="N63" s="13">
        <v>0</v>
      </c>
    </row>
    <row r="64" spans="1:14">
      <c r="A64" s="10" t="s">
        <v>504</v>
      </c>
      <c r="B64" s="11">
        <v>46156</v>
      </c>
      <c r="C64" s="10" t="s">
        <v>46</v>
      </c>
      <c r="D64" s="10" t="s">
        <v>47</v>
      </c>
      <c r="E64" s="10" t="s">
        <v>43</v>
      </c>
      <c r="F64" s="10" t="s">
        <v>178</v>
      </c>
      <c r="G64" s="10" t="s">
        <v>80</v>
      </c>
      <c r="H64" s="10" t="s">
        <v>81</v>
      </c>
      <c r="I64" s="10" t="s">
        <v>63</v>
      </c>
      <c r="J64" s="10" t="s">
        <v>153</v>
      </c>
      <c r="K64" s="10">
        <v>1</v>
      </c>
      <c r="L64" s="12">
        <v>57.75</v>
      </c>
      <c r="M64" s="12">
        <v>22</v>
      </c>
      <c r="N64" s="13">
        <v>0.15</v>
      </c>
    </row>
    <row r="65" spans="1:14">
      <c r="A65" s="10" t="s">
        <v>285</v>
      </c>
      <c r="B65" s="11">
        <v>46146</v>
      </c>
      <c r="C65" s="10" t="s">
        <v>51</v>
      </c>
      <c r="D65" s="10" t="s">
        <v>52</v>
      </c>
      <c r="E65" s="10" t="s">
        <v>50</v>
      </c>
      <c r="F65" s="10" t="s">
        <v>173</v>
      </c>
      <c r="G65" s="10" t="s">
        <v>110</v>
      </c>
      <c r="H65" s="10" t="s">
        <v>111</v>
      </c>
      <c r="I65" s="10" t="s">
        <v>63</v>
      </c>
      <c r="J65" s="10" t="s">
        <v>152</v>
      </c>
      <c r="K65" s="10">
        <v>5</v>
      </c>
      <c r="L65" s="12">
        <v>136.5</v>
      </c>
      <c r="M65" s="12">
        <v>65</v>
      </c>
      <c r="N65" s="13">
        <v>0.1</v>
      </c>
    </row>
    <row r="66" spans="1:14">
      <c r="A66" s="10" t="s">
        <v>463</v>
      </c>
      <c r="B66" s="11">
        <v>46197</v>
      </c>
      <c r="C66" s="10" t="s">
        <v>46</v>
      </c>
      <c r="D66" s="10" t="s">
        <v>47</v>
      </c>
      <c r="E66" s="10" t="s">
        <v>43</v>
      </c>
      <c r="F66" s="10" t="s">
        <v>542</v>
      </c>
      <c r="G66" s="10" t="s">
        <v>94</v>
      </c>
      <c r="H66" s="10" t="s">
        <v>95</v>
      </c>
      <c r="I66" s="10" t="s">
        <v>58</v>
      </c>
      <c r="J66" s="10" t="s">
        <v>150</v>
      </c>
      <c r="K66" s="10">
        <v>2</v>
      </c>
      <c r="L66" s="12">
        <v>55</v>
      </c>
      <c r="M66" s="12">
        <v>22</v>
      </c>
      <c r="N66" s="13">
        <v>0.1</v>
      </c>
    </row>
    <row r="67" spans="1:14">
      <c r="A67" s="10" t="s">
        <v>424</v>
      </c>
      <c r="B67" s="11">
        <v>46108</v>
      </c>
      <c r="C67" s="10" t="s">
        <v>46</v>
      </c>
      <c r="D67" s="10" t="s">
        <v>47</v>
      </c>
      <c r="E67" s="10" t="s">
        <v>43</v>
      </c>
      <c r="F67" s="10" t="s">
        <v>171</v>
      </c>
      <c r="G67" s="10" t="s">
        <v>66</v>
      </c>
      <c r="H67" s="10" t="s">
        <v>67</v>
      </c>
      <c r="I67" s="10" t="s">
        <v>58</v>
      </c>
      <c r="J67" s="10" t="s">
        <v>153</v>
      </c>
      <c r="K67" s="10">
        <v>3</v>
      </c>
      <c r="L67" s="12">
        <v>55</v>
      </c>
      <c r="M67" s="12">
        <v>22</v>
      </c>
      <c r="N67" s="13">
        <v>0.05</v>
      </c>
    </row>
    <row r="68" spans="1:14">
      <c r="A68" s="10" t="s">
        <v>467</v>
      </c>
      <c r="B68" s="11">
        <v>46167</v>
      </c>
      <c r="C68" s="10" t="s">
        <v>41</v>
      </c>
      <c r="D68" s="10" t="s">
        <v>42</v>
      </c>
      <c r="E68" s="10" t="s">
        <v>43</v>
      </c>
      <c r="F68" s="10" t="s">
        <v>178</v>
      </c>
      <c r="G68" s="10" t="s">
        <v>70</v>
      </c>
      <c r="H68" s="10" t="s">
        <v>71</v>
      </c>
      <c r="I68" s="10" t="s">
        <v>58</v>
      </c>
      <c r="J68" s="10" t="s">
        <v>150</v>
      </c>
      <c r="K68" s="10">
        <v>3</v>
      </c>
      <c r="L68" s="12">
        <v>36.75</v>
      </c>
      <c r="M68" s="12">
        <v>14</v>
      </c>
      <c r="N68" s="13">
        <v>0.15</v>
      </c>
    </row>
    <row r="69" spans="1:14">
      <c r="A69" s="10" t="s">
        <v>443</v>
      </c>
      <c r="B69" s="11">
        <v>46077</v>
      </c>
      <c r="C69" s="10" t="s">
        <v>41</v>
      </c>
      <c r="D69" s="10" t="s">
        <v>42</v>
      </c>
      <c r="E69" s="10" t="s">
        <v>43</v>
      </c>
      <c r="F69" s="10" t="s">
        <v>175</v>
      </c>
      <c r="G69" s="10" t="s">
        <v>86</v>
      </c>
      <c r="H69" s="10" t="s">
        <v>87</v>
      </c>
      <c r="I69" s="10" t="s">
        <v>63</v>
      </c>
      <c r="J69" s="10" t="s">
        <v>150</v>
      </c>
      <c r="K69" s="10">
        <v>4</v>
      </c>
      <c r="L69" s="12">
        <v>35</v>
      </c>
      <c r="M69" s="12">
        <v>14</v>
      </c>
      <c r="N69" s="13">
        <v>0.1</v>
      </c>
    </row>
    <row r="70" spans="1:14">
      <c r="A70" s="10" t="s">
        <v>465</v>
      </c>
      <c r="B70" s="11">
        <v>46168</v>
      </c>
      <c r="C70" s="10" t="s">
        <v>41</v>
      </c>
      <c r="D70" s="10" t="s">
        <v>42</v>
      </c>
      <c r="E70" s="10" t="s">
        <v>43</v>
      </c>
      <c r="F70" s="10" t="s">
        <v>175</v>
      </c>
      <c r="G70" s="10" t="s">
        <v>118</v>
      </c>
      <c r="H70" s="10" t="s">
        <v>119</v>
      </c>
      <c r="I70" s="10" t="s">
        <v>58</v>
      </c>
      <c r="J70" s="10" t="s">
        <v>543</v>
      </c>
      <c r="K70" s="10">
        <v>3</v>
      </c>
      <c r="L70" s="12">
        <v>33.25</v>
      </c>
      <c r="M70" s="12">
        <v>14</v>
      </c>
      <c r="N70" s="13">
        <v>0.05</v>
      </c>
    </row>
    <row r="71" spans="1:14">
      <c r="A71" s="10" t="s">
        <v>483</v>
      </c>
      <c r="B71" s="11">
        <v>46189</v>
      </c>
      <c r="C71" s="10" t="s">
        <v>44</v>
      </c>
      <c r="D71" s="10" t="s">
        <v>45</v>
      </c>
      <c r="E71" s="10" t="s">
        <v>43</v>
      </c>
      <c r="F71" s="10" t="s">
        <v>178</v>
      </c>
      <c r="G71" s="10" t="s">
        <v>110</v>
      </c>
      <c r="H71" s="10" t="s">
        <v>111</v>
      </c>
      <c r="I71" s="10" t="s">
        <v>63</v>
      </c>
      <c r="J71" s="10" t="s">
        <v>153</v>
      </c>
      <c r="K71" s="10">
        <v>4</v>
      </c>
      <c r="L71" s="12">
        <v>19</v>
      </c>
      <c r="M71" s="12">
        <v>7</v>
      </c>
      <c r="N71" s="13">
        <v>0.05</v>
      </c>
    </row>
    <row r="72" spans="1:14">
      <c r="A72" s="10" t="s">
        <v>358</v>
      </c>
      <c r="B72" s="11">
        <v>46161</v>
      </c>
      <c r="C72" s="10" t="s">
        <v>46</v>
      </c>
      <c r="D72" s="10" t="s">
        <v>47</v>
      </c>
      <c r="E72" s="10" t="s">
        <v>43</v>
      </c>
      <c r="F72" s="10" t="s">
        <v>178</v>
      </c>
      <c r="G72" s="10" t="s">
        <v>80</v>
      </c>
      <c r="H72" s="10" t="s">
        <v>81</v>
      </c>
      <c r="I72" s="10" t="s">
        <v>63</v>
      </c>
      <c r="J72" s="10" t="s">
        <v>152</v>
      </c>
      <c r="K72" s="10">
        <v>7</v>
      </c>
      <c r="L72" s="12">
        <v>55</v>
      </c>
      <c r="M72" s="12">
        <v>22</v>
      </c>
      <c r="N72" s="13">
        <v>0.15</v>
      </c>
    </row>
    <row r="73" spans="1:14">
      <c r="A73" s="10" t="s">
        <v>209</v>
      </c>
      <c r="B73" s="11">
        <v>46049</v>
      </c>
      <c r="C73" s="10" t="s">
        <v>34</v>
      </c>
      <c r="D73" s="10" t="s">
        <v>35</v>
      </c>
      <c r="E73" s="10" t="s">
        <v>36</v>
      </c>
      <c r="F73" s="10" t="s">
        <v>173</v>
      </c>
      <c r="G73" s="10" t="s">
        <v>136</v>
      </c>
      <c r="H73" s="10" t="s">
        <v>137</v>
      </c>
      <c r="I73" s="10" t="s">
        <v>58</v>
      </c>
      <c r="J73" s="10" t="s">
        <v>152</v>
      </c>
      <c r="K73" s="10">
        <v>3</v>
      </c>
      <c r="L73" s="12">
        <v>650</v>
      </c>
      <c r="M73" s="12">
        <v>430</v>
      </c>
      <c r="N73" s="13">
        <v>0.15</v>
      </c>
    </row>
    <row r="74" spans="1:14">
      <c r="A74" s="10" t="s">
        <v>519</v>
      </c>
      <c r="B74" s="11">
        <v>46032</v>
      </c>
      <c r="C74" s="10" t="s">
        <v>44</v>
      </c>
      <c r="D74" s="10" t="s">
        <v>45</v>
      </c>
      <c r="E74" s="10" t="s">
        <v>43</v>
      </c>
      <c r="F74" s="10" t="s">
        <v>175</v>
      </c>
      <c r="G74" s="10" t="s">
        <v>88</v>
      </c>
      <c r="H74" s="10" t="s">
        <v>89</v>
      </c>
      <c r="I74" s="10" t="s">
        <v>58</v>
      </c>
      <c r="J74" s="10" t="s">
        <v>151</v>
      </c>
      <c r="K74" s="10">
        <v>1</v>
      </c>
      <c r="L74" s="12">
        <v>20</v>
      </c>
      <c r="M74" s="12">
        <v>7</v>
      </c>
      <c r="N74" s="13">
        <v>0</v>
      </c>
    </row>
    <row r="75" spans="1:14">
      <c r="A75" s="10" t="s">
        <v>515</v>
      </c>
      <c r="B75" s="11">
        <v>46087</v>
      </c>
      <c r="C75" s="10" t="s">
        <v>41</v>
      </c>
      <c r="D75" s="10" t="s">
        <v>42</v>
      </c>
      <c r="E75" s="10" t="s">
        <v>43</v>
      </c>
      <c r="F75" s="10" t="s">
        <v>178</v>
      </c>
      <c r="G75" s="10" t="s">
        <v>108</v>
      </c>
      <c r="H75" s="10" t="s">
        <v>109</v>
      </c>
      <c r="I75" s="10" t="s">
        <v>58</v>
      </c>
      <c r="J75" s="10" t="s">
        <v>151</v>
      </c>
      <c r="K75" s="10">
        <v>1</v>
      </c>
      <c r="L75" s="12">
        <v>36.75</v>
      </c>
      <c r="M75" s="12">
        <v>14</v>
      </c>
      <c r="N75" s="13">
        <v>0.05</v>
      </c>
    </row>
    <row r="76" spans="1:14">
      <c r="A76" s="10" t="s">
        <v>330</v>
      </c>
      <c r="B76" s="11">
        <v>46111</v>
      </c>
      <c r="C76" s="10" t="s">
        <v>39</v>
      </c>
      <c r="D76" s="10" t="s">
        <v>40</v>
      </c>
      <c r="E76" s="10" t="s">
        <v>36</v>
      </c>
      <c r="F76" s="10" t="s">
        <v>171</v>
      </c>
      <c r="G76" s="10" t="s">
        <v>106</v>
      </c>
      <c r="H76" s="10" t="s">
        <v>107</v>
      </c>
      <c r="I76" s="10" t="s">
        <v>58</v>
      </c>
      <c r="J76" s="10" t="s">
        <v>153</v>
      </c>
      <c r="K76" s="10">
        <v>2</v>
      </c>
      <c r="L76" s="12">
        <v>260</v>
      </c>
      <c r="M76" s="12">
        <v>155</v>
      </c>
      <c r="N76" s="13">
        <v>0.15</v>
      </c>
    </row>
    <row r="77" spans="1:14">
      <c r="A77" s="10" t="s">
        <v>341</v>
      </c>
      <c r="B77" s="11">
        <v>46161</v>
      </c>
      <c r="C77" s="10" t="s">
        <v>51</v>
      </c>
      <c r="D77" s="10" t="s">
        <v>52</v>
      </c>
      <c r="E77" s="10" t="s">
        <v>50</v>
      </c>
      <c r="F77" s="10" t="s">
        <v>173</v>
      </c>
      <c r="G77" s="10" t="s">
        <v>90</v>
      </c>
      <c r="H77" s="10" t="s">
        <v>91</v>
      </c>
      <c r="I77" s="10" t="s">
        <v>58</v>
      </c>
      <c r="J77" s="10" t="s">
        <v>153</v>
      </c>
      <c r="K77" s="10">
        <v>3</v>
      </c>
      <c r="L77" s="12">
        <v>123.5</v>
      </c>
      <c r="M77" s="12">
        <v>65</v>
      </c>
      <c r="N77" s="13">
        <v>0</v>
      </c>
    </row>
    <row r="78" spans="1:14">
      <c r="A78" s="10" t="s">
        <v>297</v>
      </c>
      <c r="B78" s="11">
        <v>46037</v>
      </c>
      <c r="C78" s="10" t="s">
        <v>39</v>
      </c>
      <c r="D78" s="10" t="s">
        <v>40</v>
      </c>
      <c r="E78" s="10" t="s">
        <v>36</v>
      </c>
      <c r="F78" s="10" t="s">
        <v>175</v>
      </c>
      <c r="G78" s="10" t="s">
        <v>100</v>
      </c>
      <c r="H78" s="10" t="s">
        <v>101</v>
      </c>
      <c r="I78" s="10" t="s">
        <v>58</v>
      </c>
      <c r="J78" s="10" t="s">
        <v>152</v>
      </c>
      <c r="K78" s="10">
        <v>2</v>
      </c>
      <c r="L78" s="12">
        <v>273</v>
      </c>
      <c r="M78" s="12">
        <v>155</v>
      </c>
      <c r="N78" s="13">
        <v>0</v>
      </c>
    </row>
    <row r="79" spans="1:14">
      <c r="A79" s="10" t="s">
        <v>411</v>
      </c>
      <c r="B79" s="11">
        <v>46170</v>
      </c>
      <c r="C79" s="10" t="s">
        <v>48</v>
      </c>
      <c r="D79" s="10" t="s">
        <v>49</v>
      </c>
      <c r="E79" s="10" t="s">
        <v>50</v>
      </c>
      <c r="F79" s="10" t="s">
        <v>178</v>
      </c>
      <c r="G79" s="10" t="s">
        <v>118</v>
      </c>
      <c r="H79" s="10" t="s">
        <v>119</v>
      </c>
      <c r="I79" s="10" t="s">
        <v>58</v>
      </c>
      <c r="J79" s="10" t="s">
        <v>151</v>
      </c>
      <c r="K79" s="10">
        <v>1</v>
      </c>
      <c r="L79" s="12">
        <v>170</v>
      </c>
      <c r="M79" s="12">
        <v>95</v>
      </c>
      <c r="N79" s="13">
        <v>0</v>
      </c>
    </row>
    <row r="80" spans="1:14">
      <c r="A80" s="10" t="s">
        <v>305</v>
      </c>
      <c r="B80" s="11">
        <v>46114</v>
      </c>
      <c r="C80" s="10" t="s">
        <v>51</v>
      </c>
      <c r="D80" s="10" t="s">
        <v>52</v>
      </c>
      <c r="E80" s="10" t="s">
        <v>50</v>
      </c>
      <c r="F80" s="10" t="s">
        <v>173</v>
      </c>
      <c r="G80" s="10" t="s">
        <v>118</v>
      </c>
      <c r="H80" s="10" t="s">
        <v>119</v>
      </c>
      <c r="I80" s="10" t="s">
        <v>58</v>
      </c>
      <c r="J80" s="10" t="s">
        <v>150</v>
      </c>
      <c r="K80" s="10">
        <v>4</v>
      </c>
      <c r="L80" s="12">
        <v>130</v>
      </c>
      <c r="M80" s="12">
        <v>65</v>
      </c>
      <c r="N80" s="13">
        <v>0</v>
      </c>
    </row>
    <row r="81" spans="1:14">
      <c r="A81" s="10" t="s">
        <v>500</v>
      </c>
      <c r="B81" s="11">
        <v>46183</v>
      </c>
      <c r="C81" s="10" t="s">
        <v>46</v>
      </c>
      <c r="D81" s="10" t="s">
        <v>47</v>
      </c>
      <c r="E81" s="10" t="s">
        <v>43</v>
      </c>
      <c r="F81" s="10" t="s">
        <v>171</v>
      </c>
      <c r="G81" s="10" t="s">
        <v>116</v>
      </c>
      <c r="H81" s="10" t="s">
        <v>117</v>
      </c>
      <c r="I81" s="10" t="s">
        <v>63</v>
      </c>
      <c r="J81" s="10" t="s">
        <v>151</v>
      </c>
      <c r="K81" s="10">
        <v>1</v>
      </c>
      <c r="L81" s="12">
        <v>55</v>
      </c>
      <c r="M81" s="12">
        <v>22</v>
      </c>
      <c r="N81" s="13">
        <v>0.05</v>
      </c>
    </row>
    <row r="82" spans="1:14">
      <c r="A82" s="10" t="s">
        <v>511</v>
      </c>
      <c r="B82" s="11">
        <v>46034</v>
      </c>
      <c r="C82" s="10" t="s">
        <v>44</v>
      </c>
      <c r="D82" s="10" t="s">
        <v>45</v>
      </c>
      <c r="E82" s="10" t="s">
        <v>43</v>
      </c>
      <c r="F82" s="10" t="s">
        <v>171</v>
      </c>
      <c r="G82" s="10" t="s">
        <v>126</v>
      </c>
      <c r="H82" s="10" t="s">
        <v>127</v>
      </c>
      <c r="I82" s="10" t="s">
        <v>58</v>
      </c>
      <c r="J82" s="10" t="s">
        <v>151</v>
      </c>
      <c r="K82" s="10">
        <v>2</v>
      </c>
      <c r="L82" s="12">
        <v>21</v>
      </c>
      <c r="M82" s="12">
        <v>7</v>
      </c>
      <c r="N82" s="13">
        <v>0.15</v>
      </c>
    </row>
    <row r="83" spans="1:14">
      <c r="A83" s="10" t="s">
        <v>232</v>
      </c>
      <c r="B83" s="11">
        <v>46088</v>
      </c>
      <c r="C83" s="10" t="s">
        <v>34</v>
      </c>
      <c r="D83" s="10" t="s">
        <v>35</v>
      </c>
      <c r="E83" s="10" t="s">
        <v>36</v>
      </c>
      <c r="F83" s="10" t="s">
        <v>173</v>
      </c>
      <c r="G83" s="10" t="s">
        <v>96</v>
      </c>
      <c r="H83" s="10" t="s">
        <v>97</v>
      </c>
      <c r="I83" s="10" t="s">
        <v>58</v>
      </c>
      <c r="J83" s="10" t="s">
        <v>150</v>
      </c>
      <c r="K83" s="10">
        <v>2</v>
      </c>
      <c r="L83" s="12">
        <v>650</v>
      </c>
      <c r="M83" s="12">
        <v>430</v>
      </c>
      <c r="N83" s="13">
        <v>0.05</v>
      </c>
    </row>
    <row r="84" spans="1:14">
      <c r="A84" s="10" t="s">
        <v>430</v>
      </c>
      <c r="B84" s="11">
        <v>46039</v>
      </c>
      <c r="C84" s="10" t="s">
        <v>46</v>
      </c>
      <c r="D84" s="10" t="s">
        <v>47</v>
      </c>
      <c r="E84" s="10" t="s">
        <v>43</v>
      </c>
      <c r="F84" s="10" t="s">
        <v>178</v>
      </c>
      <c r="G84" s="10" t="s">
        <v>136</v>
      </c>
      <c r="H84" s="10" t="s">
        <v>137</v>
      </c>
      <c r="I84" s="10" t="s">
        <v>58</v>
      </c>
      <c r="J84" s="10" t="s">
        <v>151</v>
      </c>
      <c r="K84" s="10">
        <v>3</v>
      </c>
      <c r="L84" s="12">
        <v>55</v>
      </c>
      <c r="M84" s="12">
        <v>22</v>
      </c>
      <c r="N84" s="13">
        <v>0.1</v>
      </c>
    </row>
    <row r="85" spans="1:14">
      <c r="A85" s="10" t="s">
        <v>306</v>
      </c>
      <c r="B85" s="11">
        <v>46116</v>
      </c>
      <c r="C85" s="10" t="s">
        <v>39</v>
      </c>
      <c r="D85" s="10" t="s">
        <v>40</v>
      </c>
      <c r="E85" s="10" t="s">
        <v>36</v>
      </c>
      <c r="F85" s="10" t="s">
        <v>175</v>
      </c>
      <c r="G85" s="10" t="s">
        <v>68</v>
      </c>
      <c r="H85" s="10" t="s">
        <v>69</v>
      </c>
      <c r="I85" s="10" t="s">
        <v>63</v>
      </c>
      <c r="J85" s="10" t="s">
        <v>151</v>
      </c>
      <c r="K85" s="10">
        <v>2</v>
      </c>
      <c r="L85" s="12">
        <v>260</v>
      </c>
      <c r="M85" s="12">
        <v>155</v>
      </c>
      <c r="N85" s="13">
        <v>0</v>
      </c>
    </row>
    <row r="86" spans="1:14">
      <c r="A86" s="10" t="s">
        <v>469</v>
      </c>
      <c r="B86" s="11">
        <v>46066</v>
      </c>
      <c r="C86" s="10" t="s">
        <v>46</v>
      </c>
      <c r="D86" s="10" t="s">
        <v>47</v>
      </c>
      <c r="E86" s="10" t="s">
        <v>43</v>
      </c>
      <c r="F86" s="10" t="s">
        <v>173</v>
      </c>
      <c r="G86" s="10" t="s">
        <v>82</v>
      </c>
      <c r="H86" s="10" t="s">
        <v>83</v>
      </c>
      <c r="I86" s="10" t="s">
        <v>58</v>
      </c>
      <c r="J86" s="10" t="s">
        <v>153</v>
      </c>
      <c r="K86" s="10">
        <v>2</v>
      </c>
      <c r="L86" s="12">
        <v>55</v>
      </c>
      <c r="M86" s="12">
        <v>22</v>
      </c>
      <c r="N86" s="13">
        <v>0.15</v>
      </c>
    </row>
    <row r="87" spans="1:14">
      <c r="A87" s="10" t="s">
        <v>512</v>
      </c>
      <c r="B87" s="11">
        <v>46105</v>
      </c>
      <c r="C87" s="10" t="s">
        <v>44</v>
      </c>
      <c r="D87" s="10" t="s">
        <v>45</v>
      </c>
      <c r="E87" s="10" t="s">
        <v>43</v>
      </c>
      <c r="F87" s="10" t="s">
        <v>178</v>
      </c>
      <c r="G87" s="10" t="s">
        <v>100</v>
      </c>
      <c r="H87" s="10" t="s">
        <v>101</v>
      </c>
      <c r="I87" s="10" t="s">
        <v>58</v>
      </c>
      <c r="J87" s="10" t="s">
        <v>150</v>
      </c>
      <c r="K87" s="10">
        <v>2</v>
      </c>
      <c r="L87" s="12">
        <v>21</v>
      </c>
      <c r="M87" s="12">
        <v>7</v>
      </c>
      <c r="N87" s="13">
        <v>0.15</v>
      </c>
    </row>
    <row r="88" spans="1:14">
      <c r="A88" s="10" t="s">
        <v>270</v>
      </c>
      <c r="B88" s="11">
        <v>46101</v>
      </c>
      <c r="C88" s="10" t="s">
        <v>39</v>
      </c>
      <c r="D88" s="10" t="s">
        <v>40</v>
      </c>
      <c r="E88" s="10" t="s">
        <v>36</v>
      </c>
      <c r="F88" s="10" t="s">
        <v>171</v>
      </c>
      <c r="G88" s="10" t="s">
        <v>88</v>
      </c>
      <c r="H88" s="10" t="s">
        <v>89</v>
      </c>
      <c r="I88" s="10" t="s">
        <v>58</v>
      </c>
      <c r="J88" s="10" t="s">
        <v>150</v>
      </c>
      <c r="K88" s="10">
        <v>3</v>
      </c>
      <c r="L88" s="12">
        <v>247</v>
      </c>
      <c r="M88" s="12">
        <v>155</v>
      </c>
      <c r="N88" s="13">
        <v>0.05</v>
      </c>
    </row>
    <row r="89" spans="1:14">
      <c r="A89" s="10" t="s">
        <v>271</v>
      </c>
      <c r="B89" s="11">
        <v>46164</v>
      </c>
      <c r="C89" s="10" t="s">
        <v>39</v>
      </c>
      <c r="D89" s="10" t="s">
        <v>40</v>
      </c>
      <c r="E89" s="10" t="s">
        <v>36</v>
      </c>
      <c r="F89" s="10" t="s">
        <v>175</v>
      </c>
      <c r="G89" s="10" t="s">
        <v>130</v>
      </c>
      <c r="H89" s="10" t="s">
        <v>131</v>
      </c>
      <c r="I89" s="10" t="s">
        <v>58</v>
      </c>
      <c r="J89" s="10" t="s">
        <v>153</v>
      </c>
      <c r="K89" s="10">
        <v>3</v>
      </c>
      <c r="L89" s="12">
        <v>260</v>
      </c>
      <c r="M89" s="12">
        <v>155</v>
      </c>
      <c r="N89" s="13">
        <v>0.1</v>
      </c>
    </row>
    <row r="90" spans="1:14">
      <c r="A90" s="10" t="s">
        <v>220</v>
      </c>
      <c r="B90" s="11">
        <v>46038</v>
      </c>
      <c r="C90" s="10" t="s">
        <v>34</v>
      </c>
      <c r="D90" s="10" t="s">
        <v>35</v>
      </c>
      <c r="E90" s="10" t="s">
        <v>36</v>
      </c>
      <c r="F90" s="10" t="s">
        <v>171</v>
      </c>
      <c r="G90" s="10" t="s">
        <v>94</v>
      </c>
      <c r="H90" s="10" t="s">
        <v>95</v>
      </c>
      <c r="I90" s="10" t="s">
        <v>58</v>
      </c>
      <c r="J90" s="10" t="s">
        <v>150</v>
      </c>
      <c r="K90" s="10">
        <v>2</v>
      </c>
      <c r="L90" s="12">
        <v>682.5</v>
      </c>
      <c r="M90" s="12">
        <v>430</v>
      </c>
      <c r="N90" s="13">
        <v>0</v>
      </c>
    </row>
    <row r="91" spans="1:14">
      <c r="A91" s="10" t="s">
        <v>363</v>
      </c>
      <c r="B91" s="11">
        <v>46165</v>
      </c>
      <c r="C91" s="10" t="s">
        <v>41</v>
      </c>
      <c r="D91" s="10" t="s">
        <v>42</v>
      </c>
      <c r="E91" s="10" t="s">
        <v>43</v>
      </c>
      <c r="F91" s="10" t="s">
        <v>173</v>
      </c>
      <c r="G91" s="10" t="s">
        <v>128</v>
      </c>
      <c r="H91" s="10" t="s">
        <v>129</v>
      </c>
      <c r="I91" s="10" t="s">
        <v>63</v>
      </c>
      <c r="J91" s="10" t="s">
        <v>153</v>
      </c>
      <c r="K91" s="10">
        <v>10</v>
      </c>
      <c r="L91" s="12">
        <v>35</v>
      </c>
      <c r="M91" s="12">
        <v>14</v>
      </c>
      <c r="N91" s="13">
        <v>0.15</v>
      </c>
    </row>
    <row r="92" spans="1:14">
      <c r="A92" s="10" t="s">
        <v>295</v>
      </c>
      <c r="B92" s="11">
        <v>46123</v>
      </c>
      <c r="C92" s="10" t="s">
        <v>34</v>
      </c>
      <c r="D92" s="10" t="s">
        <v>35</v>
      </c>
      <c r="E92" s="10"/>
      <c r="F92" s="10" t="s">
        <v>175</v>
      </c>
      <c r="G92" s="10" t="s">
        <v>124</v>
      </c>
      <c r="H92" s="10" t="s">
        <v>125</v>
      </c>
      <c r="I92" s="10" t="s">
        <v>58</v>
      </c>
      <c r="J92" s="10" t="s">
        <v>152</v>
      </c>
      <c r="K92" s="10">
        <v>1</v>
      </c>
      <c r="L92" s="12">
        <v>650</v>
      </c>
      <c r="M92" s="12">
        <v>430</v>
      </c>
      <c r="N92" s="13">
        <v>0.15</v>
      </c>
    </row>
    <row r="93" spans="1:14">
      <c r="A93" s="10" t="s">
        <v>488</v>
      </c>
      <c r="B93" s="11">
        <v>46137</v>
      </c>
      <c r="C93" s="10" t="s">
        <v>41</v>
      </c>
      <c r="D93" s="10" t="s">
        <v>42</v>
      </c>
      <c r="E93" s="10" t="s">
        <v>43</v>
      </c>
      <c r="F93" s="10" t="s">
        <v>544</v>
      </c>
      <c r="G93" s="10" t="s">
        <v>120</v>
      </c>
      <c r="H93" s="10" t="s">
        <v>121</v>
      </c>
      <c r="I93" s="10" t="s">
        <v>58</v>
      </c>
      <c r="J93" s="10" t="s">
        <v>152</v>
      </c>
      <c r="K93" s="10">
        <v>2</v>
      </c>
      <c r="L93" s="12">
        <v>36.75</v>
      </c>
      <c r="M93" s="12">
        <v>14</v>
      </c>
      <c r="N93" s="13">
        <v>0.05</v>
      </c>
    </row>
    <row r="94" spans="1:14">
      <c r="A94" s="10" t="s">
        <v>513</v>
      </c>
      <c r="B94" s="11">
        <v>46054</v>
      </c>
      <c r="C94" s="10" t="s">
        <v>44</v>
      </c>
      <c r="D94" s="10" t="s">
        <v>45</v>
      </c>
      <c r="E94" s="10" t="s">
        <v>43</v>
      </c>
      <c r="F94" s="10" t="s">
        <v>175</v>
      </c>
      <c r="G94" s="10" t="s">
        <v>88</v>
      </c>
      <c r="H94" s="10" t="s">
        <v>89</v>
      </c>
      <c r="I94" s="10" t="s">
        <v>58</v>
      </c>
      <c r="J94" s="10" t="s">
        <v>150</v>
      </c>
      <c r="K94" s="10">
        <v>2</v>
      </c>
      <c r="L94" s="12">
        <v>21</v>
      </c>
      <c r="M94" s="12">
        <v>7</v>
      </c>
      <c r="N94" s="13">
        <v>0.15</v>
      </c>
    </row>
    <row r="95" spans="1:14">
      <c r="A95" s="10" t="s">
        <v>368</v>
      </c>
      <c r="B95" s="11">
        <v>46121</v>
      </c>
      <c r="C95" s="10" t="s">
        <v>48</v>
      </c>
      <c r="D95" s="10" t="s">
        <v>49</v>
      </c>
      <c r="E95" s="10" t="s">
        <v>50</v>
      </c>
      <c r="F95" s="10" t="s">
        <v>178</v>
      </c>
      <c r="G95" s="10" t="s">
        <v>132</v>
      </c>
      <c r="H95" s="10" t="s">
        <v>133</v>
      </c>
      <c r="I95" s="10" t="s">
        <v>58</v>
      </c>
      <c r="J95" s="10" t="s">
        <v>151</v>
      </c>
      <c r="K95" s="10">
        <v>2</v>
      </c>
      <c r="L95" s="12">
        <v>161.5</v>
      </c>
      <c r="M95" s="12">
        <v>95</v>
      </c>
      <c r="N95" s="13">
        <v>0.15</v>
      </c>
    </row>
    <row r="96" spans="1:14">
      <c r="A96" s="10" t="s">
        <v>396</v>
      </c>
      <c r="B96" s="11">
        <v>46032</v>
      </c>
      <c r="C96" s="10" t="s">
        <v>44</v>
      </c>
      <c r="D96" s="10" t="s">
        <v>45</v>
      </c>
      <c r="E96" s="10" t="s">
        <v>43</v>
      </c>
      <c r="F96" s="10" t="s">
        <v>178</v>
      </c>
      <c r="G96" s="10" t="s">
        <v>92</v>
      </c>
      <c r="H96" s="10" t="s">
        <v>93</v>
      </c>
      <c r="I96" s="10" t="s">
        <v>63</v>
      </c>
      <c r="J96" s="10" t="s">
        <v>151</v>
      </c>
      <c r="K96" s="10">
        <v>11</v>
      </c>
      <c r="L96" s="12">
        <v>20</v>
      </c>
      <c r="M96" s="12">
        <v>7</v>
      </c>
      <c r="N96" s="13">
        <v>0</v>
      </c>
    </row>
    <row r="97" spans="1:14">
      <c r="A97" s="10" t="s">
        <v>176</v>
      </c>
      <c r="B97" s="11">
        <v>46130</v>
      </c>
      <c r="C97" s="10" t="s">
        <v>34</v>
      </c>
      <c r="D97" s="10" t="s">
        <v>541</v>
      </c>
      <c r="E97" s="10" t="s">
        <v>36</v>
      </c>
      <c r="F97" s="10" t="s">
        <v>175</v>
      </c>
      <c r="G97" s="10" t="s">
        <v>110</v>
      </c>
      <c r="H97" s="10" t="s">
        <v>111</v>
      </c>
      <c r="I97" s="10" t="s">
        <v>63</v>
      </c>
      <c r="J97" s="10" t="s">
        <v>150</v>
      </c>
      <c r="K97" s="10">
        <v>7</v>
      </c>
      <c r="L97" s="12">
        <v>682.5</v>
      </c>
      <c r="M97" s="12">
        <v>430</v>
      </c>
      <c r="N97" s="13">
        <v>0</v>
      </c>
    </row>
    <row r="98" spans="1:14">
      <c r="A98" s="10" t="s">
        <v>408</v>
      </c>
      <c r="B98" s="11">
        <v>46117</v>
      </c>
      <c r="C98" s="10" t="s">
        <v>37</v>
      </c>
      <c r="D98" s="10" t="s">
        <v>38</v>
      </c>
      <c r="E98" s="10" t="s">
        <v>36</v>
      </c>
      <c r="F98" s="10" t="s">
        <v>178</v>
      </c>
      <c r="G98" s="10" t="s">
        <v>108</v>
      </c>
      <c r="H98" s="10" t="s">
        <v>109</v>
      </c>
      <c r="I98" s="10" t="s">
        <v>58</v>
      </c>
      <c r="J98" s="10" t="s">
        <v>153</v>
      </c>
      <c r="K98" s="10">
        <v>1</v>
      </c>
      <c r="L98" s="12">
        <v>189</v>
      </c>
      <c r="M98" s="12">
        <v>95</v>
      </c>
      <c r="N98" s="13">
        <v>0.05</v>
      </c>
    </row>
    <row r="99" spans="1:14">
      <c r="A99" s="10" t="s">
        <v>454</v>
      </c>
      <c r="B99" s="11">
        <v>46032</v>
      </c>
      <c r="C99" s="10" t="s">
        <v>41</v>
      </c>
      <c r="D99" s="10" t="s">
        <v>42</v>
      </c>
      <c r="E99" s="10" t="s">
        <v>43</v>
      </c>
      <c r="F99" s="10" t="s">
        <v>171</v>
      </c>
      <c r="G99" s="10" t="s">
        <v>114</v>
      </c>
      <c r="H99" s="10" t="s">
        <v>115</v>
      </c>
      <c r="I99" s="10" t="s">
        <v>58</v>
      </c>
      <c r="J99" s="10" t="s">
        <v>151</v>
      </c>
      <c r="K99" s="10">
        <v>3</v>
      </c>
      <c r="L99" s="12">
        <v>35</v>
      </c>
      <c r="M99" s="12">
        <v>14</v>
      </c>
      <c r="N99" s="13">
        <v>0</v>
      </c>
    </row>
    <row r="100" spans="1:14">
      <c r="A100" s="10" t="s">
        <v>247</v>
      </c>
      <c r="B100" s="11">
        <v>46189</v>
      </c>
      <c r="C100" s="10" t="s">
        <v>48</v>
      </c>
      <c r="D100" s="10" t="s">
        <v>49</v>
      </c>
      <c r="E100" s="10" t="s">
        <v>50</v>
      </c>
      <c r="F100" s="10" t="s">
        <v>171</v>
      </c>
      <c r="G100" s="10" t="s">
        <v>61</v>
      </c>
      <c r="H100" s="10" t="s">
        <v>62</v>
      </c>
      <c r="I100" s="10" t="s">
        <v>63</v>
      </c>
      <c r="J100" s="10" t="s">
        <v>150</v>
      </c>
      <c r="K100" s="10">
        <v>7</v>
      </c>
      <c r="L100" s="12">
        <v>170</v>
      </c>
      <c r="M100" s="12">
        <v>95</v>
      </c>
      <c r="N100" s="13">
        <v>0.15</v>
      </c>
    </row>
    <row r="101" spans="1:14">
      <c r="A101" s="10" t="s">
        <v>287</v>
      </c>
      <c r="B101" s="11">
        <v>46029</v>
      </c>
      <c r="C101" s="10" t="s">
        <v>37</v>
      </c>
      <c r="D101" s="10" t="s">
        <v>38</v>
      </c>
      <c r="E101" s="10" t="s">
        <v>36</v>
      </c>
      <c r="F101" s="10" t="s">
        <v>173</v>
      </c>
      <c r="G101" s="10" t="s">
        <v>114</v>
      </c>
      <c r="H101" s="10" t="s">
        <v>115</v>
      </c>
      <c r="I101" s="10" t="s">
        <v>58</v>
      </c>
      <c r="J101" s="10" t="s">
        <v>153</v>
      </c>
      <c r="K101" s="10">
        <v>4</v>
      </c>
      <c r="L101" s="12">
        <v>180</v>
      </c>
      <c r="M101" s="12">
        <v>95</v>
      </c>
      <c r="N101" s="13">
        <v>0.15</v>
      </c>
    </row>
    <row r="102" spans="1:14">
      <c r="A102" s="10" t="s">
        <v>190</v>
      </c>
      <c r="B102" s="11">
        <v>46076</v>
      </c>
      <c r="C102" s="10" t="s">
        <v>37</v>
      </c>
      <c r="D102" s="10" t="s">
        <v>38</v>
      </c>
      <c r="E102" s="10" t="s">
        <v>36</v>
      </c>
      <c r="F102" s="10" t="s">
        <v>175</v>
      </c>
      <c r="G102" s="10" t="s">
        <v>128</v>
      </c>
      <c r="H102" s="10" t="s">
        <v>129</v>
      </c>
      <c r="I102" s="10" t="s">
        <v>63</v>
      </c>
      <c r="J102" s="10" t="s">
        <v>153</v>
      </c>
      <c r="K102" s="10">
        <v>12</v>
      </c>
      <c r="L102" s="12">
        <v>180</v>
      </c>
      <c r="M102" s="12">
        <v>95</v>
      </c>
      <c r="N102" s="13">
        <v>0</v>
      </c>
    </row>
    <row r="103" spans="1:14">
      <c r="A103" s="10" t="s">
        <v>400</v>
      </c>
      <c r="B103" s="11">
        <v>46174</v>
      </c>
      <c r="C103" s="10" t="s">
        <v>41</v>
      </c>
      <c r="D103" s="10" t="s">
        <v>42</v>
      </c>
      <c r="E103" s="10" t="s">
        <v>43</v>
      </c>
      <c r="F103" s="10" t="s">
        <v>175</v>
      </c>
      <c r="G103" s="10" t="s">
        <v>61</v>
      </c>
      <c r="H103" s="10" t="s">
        <v>62</v>
      </c>
      <c r="I103" s="10" t="s">
        <v>63</v>
      </c>
      <c r="J103" s="10" t="s">
        <v>152</v>
      </c>
      <c r="K103" s="10">
        <v>7</v>
      </c>
      <c r="L103" s="12">
        <v>35</v>
      </c>
      <c r="M103" s="12">
        <v>14</v>
      </c>
      <c r="N103" s="13">
        <v>0.15</v>
      </c>
    </row>
    <row r="104" spans="1:14">
      <c r="A104" s="10" t="s">
        <v>517</v>
      </c>
      <c r="B104" s="11">
        <v>46042</v>
      </c>
      <c r="C104" s="10" t="s">
        <v>41</v>
      </c>
      <c r="D104" s="10" t="s">
        <v>42</v>
      </c>
      <c r="E104" s="10" t="s">
        <v>43</v>
      </c>
      <c r="F104" s="10" t="s">
        <v>171</v>
      </c>
      <c r="G104" s="10" t="s">
        <v>90</v>
      </c>
      <c r="H104" s="10" t="s">
        <v>91</v>
      </c>
      <c r="I104" s="10" t="s">
        <v>58</v>
      </c>
      <c r="J104" s="10" t="s">
        <v>151</v>
      </c>
      <c r="K104" s="10">
        <v>1</v>
      </c>
      <c r="L104" s="12">
        <v>35</v>
      </c>
      <c r="M104" s="12">
        <v>14</v>
      </c>
      <c r="N104" s="13">
        <v>0.1</v>
      </c>
    </row>
    <row r="105" spans="1:14">
      <c r="A105" s="10" t="s">
        <v>224</v>
      </c>
      <c r="B105" s="11">
        <v>46076</v>
      </c>
      <c r="C105" s="10" t="s">
        <v>34</v>
      </c>
      <c r="D105" s="10" t="s">
        <v>35</v>
      </c>
      <c r="E105" s="10" t="s">
        <v>36</v>
      </c>
      <c r="F105" s="10" t="s">
        <v>173</v>
      </c>
      <c r="G105" s="10" t="s">
        <v>94</v>
      </c>
      <c r="H105" s="10" t="s">
        <v>95</v>
      </c>
      <c r="I105" s="10" t="s">
        <v>58</v>
      </c>
      <c r="J105" s="10" t="s">
        <v>151</v>
      </c>
      <c r="K105" s="10">
        <v>2</v>
      </c>
      <c r="L105" s="12">
        <v>650</v>
      </c>
      <c r="M105" s="12">
        <v>430</v>
      </c>
      <c r="N105" s="13">
        <v>0</v>
      </c>
    </row>
    <row r="106" spans="1:14">
      <c r="A106" s="10" t="s">
        <v>336</v>
      </c>
      <c r="B106" s="11">
        <v>46172</v>
      </c>
      <c r="C106" s="10" t="s">
        <v>51</v>
      </c>
      <c r="D106" s="10" t="s">
        <v>52</v>
      </c>
      <c r="E106" s="10" t="s">
        <v>50</v>
      </c>
      <c r="F106" s="10" t="s">
        <v>171</v>
      </c>
      <c r="G106" s="10" t="s">
        <v>94</v>
      </c>
      <c r="H106" s="10"/>
      <c r="I106" s="10" t="s">
        <v>58</v>
      </c>
      <c r="J106" s="10" t="s">
        <v>150</v>
      </c>
      <c r="K106" s="10">
        <v>3</v>
      </c>
      <c r="L106" s="12">
        <v>136.5</v>
      </c>
      <c r="M106" s="12">
        <v>65</v>
      </c>
      <c r="N106" s="13">
        <v>0</v>
      </c>
    </row>
    <row r="107" spans="1:14">
      <c r="A107" s="10" t="s">
        <v>520</v>
      </c>
      <c r="B107" s="11">
        <v>46056</v>
      </c>
      <c r="C107" s="10" t="s">
        <v>44</v>
      </c>
      <c r="D107" s="10" t="s">
        <v>45</v>
      </c>
      <c r="E107" s="10" t="s">
        <v>43</v>
      </c>
      <c r="F107" s="10" t="s">
        <v>171</v>
      </c>
      <c r="G107" s="10" t="s">
        <v>88</v>
      </c>
      <c r="H107" s="10" t="s">
        <v>89</v>
      </c>
      <c r="I107" s="10" t="s">
        <v>58</v>
      </c>
      <c r="J107" s="10" t="s">
        <v>151</v>
      </c>
      <c r="K107" s="10">
        <v>1</v>
      </c>
      <c r="L107" s="12">
        <v>20</v>
      </c>
      <c r="M107" s="12">
        <v>7</v>
      </c>
      <c r="N107" s="13">
        <v>0</v>
      </c>
    </row>
    <row r="108" spans="1:14">
      <c r="A108" s="10" t="s">
        <v>326</v>
      </c>
      <c r="B108" s="11">
        <v>46160</v>
      </c>
      <c r="C108" s="10" t="s">
        <v>39</v>
      </c>
      <c r="D108" s="10" t="s">
        <v>40</v>
      </c>
      <c r="E108" s="10" t="s">
        <v>36</v>
      </c>
      <c r="F108" s="10" t="s">
        <v>171</v>
      </c>
      <c r="G108" s="10" t="s">
        <v>114</v>
      </c>
      <c r="H108" s="10" t="s">
        <v>115</v>
      </c>
      <c r="I108" s="10" t="s">
        <v>58</v>
      </c>
      <c r="J108" s="10" t="s">
        <v>150</v>
      </c>
      <c r="K108" s="10">
        <v>2</v>
      </c>
      <c r="L108" s="12">
        <v>273</v>
      </c>
      <c r="M108" s="12">
        <v>155</v>
      </c>
      <c r="N108" s="13">
        <v>0.15</v>
      </c>
    </row>
    <row r="109" spans="1:14">
      <c r="A109" s="10" t="s">
        <v>409</v>
      </c>
      <c r="B109" s="11">
        <v>46159</v>
      </c>
      <c r="C109" s="10" t="s">
        <v>37</v>
      </c>
      <c r="D109" s="10" t="s">
        <v>38</v>
      </c>
      <c r="E109" s="10" t="s">
        <v>36</v>
      </c>
      <c r="F109" s="10" t="s">
        <v>171</v>
      </c>
      <c r="G109" s="10" t="s">
        <v>82</v>
      </c>
      <c r="H109" s="10" t="s">
        <v>83</v>
      </c>
      <c r="I109" s="10" t="s">
        <v>58</v>
      </c>
      <c r="J109" s="10" t="s">
        <v>150</v>
      </c>
      <c r="K109" s="10">
        <v>1</v>
      </c>
      <c r="L109" s="12">
        <v>189</v>
      </c>
      <c r="M109" s="12">
        <v>95</v>
      </c>
      <c r="N109" s="13">
        <v>0.05</v>
      </c>
    </row>
    <row r="110" spans="1:14">
      <c r="A110" s="10" t="s">
        <v>313</v>
      </c>
      <c r="B110" s="11">
        <v>46120</v>
      </c>
      <c r="C110" s="10" t="s">
        <v>39</v>
      </c>
      <c r="D110" s="10" t="s">
        <v>40</v>
      </c>
      <c r="E110" s="10" t="s">
        <v>36</v>
      </c>
      <c r="F110" s="10" t="s">
        <v>171</v>
      </c>
      <c r="G110" s="10" t="s">
        <v>90</v>
      </c>
      <c r="H110" s="10" t="s">
        <v>91</v>
      </c>
      <c r="I110" s="10" t="s">
        <v>58</v>
      </c>
      <c r="J110" s="10" t="s">
        <v>153</v>
      </c>
      <c r="K110" s="10">
        <v>2</v>
      </c>
      <c r="L110" s="12">
        <v>260</v>
      </c>
      <c r="M110" s="12">
        <v>155</v>
      </c>
      <c r="N110" s="13">
        <v>0.05</v>
      </c>
    </row>
    <row r="111" spans="1:14">
      <c r="A111" s="10" t="s">
        <v>431</v>
      </c>
      <c r="B111" s="11">
        <v>46066</v>
      </c>
      <c r="C111" s="10" t="s">
        <v>44</v>
      </c>
      <c r="D111" s="10" t="s">
        <v>45</v>
      </c>
      <c r="E111" s="10" t="s">
        <v>43</v>
      </c>
      <c r="F111" s="10" t="s">
        <v>171</v>
      </c>
      <c r="G111" s="10" t="s">
        <v>74</v>
      </c>
      <c r="H111" s="10" t="s">
        <v>75</v>
      </c>
      <c r="I111" s="10" t="s">
        <v>63</v>
      </c>
      <c r="J111" s="10" t="s">
        <v>151</v>
      </c>
      <c r="K111" s="10">
        <v>7</v>
      </c>
      <c r="L111" s="12">
        <v>21</v>
      </c>
      <c r="M111" s="12">
        <v>7</v>
      </c>
      <c r="N111" s="13">
        <v>0</v>
      </c>
    </row>
    <row r="112" spans="1:14">
      <c r="A112" s="10" t="s">
        <v>456</v>
      </c>
      <c r="B112" s="11">
        <v>46049</v>
      </c>
      <c r="C112" s="10" t="s">
        <v>46</v>
      </c>
      <c r="D112" s="10" t="s">
        <v>47</v>
      </c>
      <c r="E112" s="10" t="s">
        <v>43</v>
      </c>
      <c r="F112" s="10" t="s">
        <v>173</v>
      </c>
      <c r="G112" s="10" t="s">
        <v>112</v>
      </c>
      <c r="H112" s="10" t="s">
        <v>113</v>
      </c>
      <c r="I112" s="10" t="s">
        <v>58</v>
      </c>
      <c r="J112" s="10" t="s">
        <v>152</v>
      </c>
      <c r="K112" s="10">
        <v>2</v>
      </c>
      <c r="L112" s="12">
        <v>52.25</v>
      </c>
      <c r="M112" s="12">
        <v>22</v>
      </c>
      <c r="N112" s="13">
        <v>0</v>
      </c>
    </row>
    <row r="113" spans="1:14">
      <c r="A113" s="10" t="s">
        <v>234</v>
      </c>
      <c r="B113" s="11">
        <v>46062</v>
      </c>
      <c r="C113" s="10" t="s">
        <v>34</v>
      </c>
      <c r="D113" s="10" t="s">
        <v>35</v>
      </c>
      <c r="E113" s="10" t="s">
        <v>36</v>
      </c>
      <c r="F113" s="10" t="s">
        <v>171</v>
      </c>
      <c r="G113" s="10" t="s">
        <v>59</v>
      </c>
      <c r="H113" s="10" t="s">
        <v>60</v>
      </c>
      <c r="I113" s="10" t="s">
        <v>58</v>
      </c>
      <c r="J113" s="10" t="s">
        <v>545</v>
      </c>
      <c r="K113" s="10">
        <v>2</v>
      </c>
      <c r="L113" s="12">
        <v>682.5</v>
      </c>
      <c r="M113" s="12">
        <v>430</v>
      </c>
      <c r="N113" s="13">
        <v>0.1</v>
      </c>
    </row>
    <row r="114" spans="1:14">
      <c r="A114" s="10" t="s">
        <v>258</v>
      </c>
      <c r="B114" s="11">
        <v>46124</v>
      </c>
      <c r="C114" s="10" t="s">
        <v>51</v>
      </c>
      <c r="D114" s="10" t="s">
        <v>52</v>
      </c>
      <c r="E114" s="10" t="s">
        <v>50</v>
      </c>
      <c r="F114" s="10" t="s">
        <v>175</v>
      </c>
      <c r="G114" s="10" t="s">
        <v>80</v>
      </c>
      <c r="H114" s="10" t="s">
        <v>81</v>
      </c>
      <c r="I114" s="10" t="s">
        <v>63</v>
      </c>
      <c r="J114" s="10"/>
      <c r="K114" s="10">
        <v>7</v>
      </c>
      <c r="L114" s="12">
        <v>130</v>
      </c>
      <c r="M114" s="12">
        <v>65</v>
      </c>
      <c r="N114" s="13">
        <v>0.1</v>
      </c>
    </row>
    <row r="115" spans="1:14">
      <c r="A115" s="10" t="s">
        <v>237</v>
      </c>
      <c r="B115" s="11">
        <v>46118</v>
      </c>
      <c r="C115" s="10" t="s">
        <v>48</v>
      </c>
      <c r="D115" s="10" t="s">
        <v>49</v>
      </c>
      <c r="E115" s="10" t="s">
        <v>50</v>
      </c>
      <c r="F115" s="10" t="s">
        <v>175</v>
      </c>
      <c r="G115" s="10" t="s">
        <v>74</v>
      </c>
      <c r="H115" s="10" t="s">
        <v>75</v>
      </c>
      <c r="I115" s="10" t="s">
        <v>63</v>
      </c>
      <c r="J115" s="10" t="s">
        <v>150</v>
      </c>
      <c r="K115" s="10">
        <v>7</v>
      </c>
      <c r="L115" s="12">
        <v>170</v>
      </c>
      <c r="M115" s="12">
        <v>95</v>
      </c>
      <c r="N115" s="13">
        <v>0</v>
      </c>
    </row>
    <row r="116" spans="1:14">
      <c r="A116" s="10" t="s">
        <v>507</v>
      </c>
      <c r="B116" s="11">
        <v>46045</v>
      </c>
      <c r="C116" s="10" t="s">
        <v>44</v>
      </c>
      <c r="D116" s="10" t="s">
        <v>45</v>
      </c>
      <c r="E116" s="10" t="s">
        <v>43</v>
      </c>
      <c r="F116" s="10" t="s">
        <v>175</v>
      </c>
      <c r="G116" s="10" t="s">
        <v>106</v>
      </c>
      <c r="H116" s="10" t="s">
        <v>107</v>
      </c>
      <c r="I116" s="10" t="s">
        <v>58</v>
      </c>
      <c r="J116" s="10" t="s">
        <v>150</v>
      </c>
      <c r="K116" s="10">
        <v>2</v>
      </c>
      <c r="L116" s="12">
        <v>19</v>
      </c>
      <c r="M116" s="12">
        <v>7</v>
      </c>
      <c r="N116" s="13">
        <v>0</v>
      </c>
    </row>
    <row r="117" spans="1:14">
      <c r="A117" s="10" t="s">
        <v>386</v>
      </c>
      <c r="B117" s="11">
        <v>46096</v>
      </c>
      <c r="C117" s="10" t="s">
        <v>39</v>
      </c>
      <c r="D117" s="10" t="s">
        <v>40</v>
      </c>
      <c r="E117" s="10" t="s">
        <v>36</v>
      </c>
      <c r="F117" s="10" t="s">
        <v>175</v>
      </c>
      <c r="G117" s="10" t="s">
        <v>106</v>
      </c>
      <c r="H117" s="10" t="s">
        <v>107</v>
      </c>
      <c r="I117" s="10" t="s">
        <v>58</v>
      </c>
      <c r="J117" s="10" t="s">
        <v>150</v>
      </c>
      <c r="K117" s="10">
        <v>1</v>
      </c>
      <c r="L117" s="12">
        <v>247</v>
      </c>
      <c r="M117" s="12">
        <v>155</v>
      </c>
      <c r="N117" s="13">
        <v>0.05</v>
      </c>
    </row>
    <row r="118" spans="1:14">
      <c r="A118" s="10" t="s">
        <v>303</v>
      </c>
      <c r="B118" s="11">
        <v>46194</v>
      </c>
      <c r="C118" s="10" t="s">
        <v>37</v>
      </c>
      <c r="D118" s="10" t="s">
        <v>38</v>
      </c>
      <c r="E118" s="10" t="s">
        <v>36</v>
      </c>
      <c r="F118" s="10" t="s">
        <v>178</v>
      </c>
      <c r="G118" s="10" t="s">
        <v>130</v>
      </c>
      <c r="H118" s="10" t="s">
        <v>131</v>
      </c>
      <c r="I118" s="10" t="s">
        <v>58</v>
      </c>
      <c r="J118" s="10" t="s">
        <v>150</v>
      </c>
      <c r="K118" s="10">
        <v>3</v>
      </c>
      <c r="L118" s="12">
        <v>189</v>
      </c>
      <c r="M118" s="12">
        <v>95</v>
      </c>
      <c r="N118" s="13">
        <v>0.05</v>
      </c>
    </row>
    <row r="119" spans="1:14">
      <c r="A119" s="10" t="s">
        <v>242</v>
      </c>
      <c r="B119" s="11">
        <v>46082</v>
      </c>
      <c r="C119" s="10" t="s">
        <v>34</v>
      </c>
      <c r="D119" s="10" t="s">
        <v>35</v>
      </c>
      <c r="E119" s="10" t="s">
        <v>36</v>
      </c>
      <c r="F119" s="10" t="s">
        <v>173</v>
      </c>
      <c r="G119" s="10" t="s">
        <v>102</v>
      </c>
      <c r="H119" s="10" t="s">
        <v>103</v>
      </c>
      <c r="I119" s="10" t="s">
        <v>58</v>
      </c>
      <c r="J119" s="10" t="s">
        <v>151</v>
      </c>
      <c r="K119" s="10">
        <v>2</v>
      </c>
      <c r="L119" s="12">
        <v>617.5</v>
      </c>
      <c r="M119" s="12">
        <v>430</v>
      </c>
      <c r="N119" s="13">
        <v>0.15</v>
      </c>
    </row>
    <row r="120" spans="1:14">
      <c r="A120" s="10" t="s">
        <v>278</v>
      </c>
      <c r="B120" s="11">
        <v>46156</v>
      </c>
      <c r="C120" s="10" t="s">
        <v>48</v>
      </c>
      <c r="D120" s="10" t="s">
        <v>49</v>
      </c>
      <c r="E120" s="10" t="s">
        <v>50</v>
      </c>
      <c r="F120" s="10" t="s">
        <v>542</v>
      </c>
      <c r="G120" s="10" t="s">
        <v>108</v>
      </c>
      <c r="H120" s="10" t="s">
        <v>109</v>
      </c>
      <c r="I120" s="10" t="s">
        <v>58</v>
      </c>
      <c r="J120" s="10" t="s">
        <v>152</v>
      </c>
      <c r="K120" s="10">
        <v>4</v>
      </c>
      <c r="L120" s="12">
        <v>170</v>
      </c>
      <c r="M120" s="12">
        <v>95</v>
      </c>
      <c r="N120" s="13">
        <v>0</v>
      </c>
    </row>
    <row r="121" spans="1:14">
      <c r="A121" s="10" t="s">
        <v>194</v>
      </c>
      <c r="B121" s="11">
        <v>46124</v>
      </c>
      <c r="C121" s="10" t="s">
        <v>34</v>
      </c>
      <c r="D121" s="10" t="s">
        <v>35</v>
      </c>
      <c r="E121" s="10" t="s">
        <v>36</v>
      </c>
      <c r="F121" s="10" t="s">
        <v>178</v>
      </c>
      <c r="G121" s="10" t="s">
        <v>94</v>
      </c>
      <c r="H121" s="10" t="s">
        <v>95</v>
      </c>
      <c r="I121" s="10" t="s">
        <v>58</v>
      </c>
      <c r="J121" s="10" t="s">
        <v>152</v>
      </c>
      <c r="K121" s="10">
        <v>3</v>
      </c>
      <c r="L121" s="12">
        <v>650</v>
      </c>
      <c r="M121" s="12"/>
      <c r="N121" s="13">
        <v>0</v>
      </c>
    </row>
    <row r="122" spans="1:14">
      <c r="A122" s="10" t="s">
        <v>243</v>
      </c>
      <c r="B122" s="11">
        <v>46170</v>
      </c>
      <c r="C122" s="10" t="s">
        <v>39</v>
      </c>
      <c r="D122" s="10" t="s">
        <v>40</v>
      </c>
      <c r="E122" s="10" t="s">
        <v>36</v>
      </c>
      <c r="F122" s="10" t="s">
        <v>175</v>
      </c>
      <c r="G122" s="10" t="s">
        <v>64</v>
      </c>
      <c r="H122" s="10" t="s">
        <v>65</v>
      </c>
      <c r="I122" s="10" t="s">
        <v>58</v>
      </c>
      <c r="J122" s="10" t="s">
        <v>151</v>
      </c>
      <c r="K122" s="10">
        <v>4</v>
      </c>
      <c r="L122" s="12">
        <v>260</v>
      </c>
      <c r="M122" s="12">
        <v>155</v>
      </c>
      <c r="N122" s="13">
        <v>0</v>
      </c>
    </row>
    <row r="123" spans="1:14">
      <c r="A123" s="10" t="s">
        <v>216</v>
      </c>
      <c r="B123" s="11">
        <v>46147</v>
      </c>
      <c r="C123" s="10" t="s">
        <v>37</v>
      </c>
      <c r="D123" s="10" t="s">
        <v>38</v>
      </c>
      <c r="E123" s="10" t="s">
        <v>36</v>
      </c>
      <c r="F123" s="10" t="s">
        <v>173</v>
      </c>
      <c r="G123" s="10" t="s">
        <v>122</v>
      </c>
      <c r="H123" s="10" t="s">
        <v>123</v>
      </c>
      <c r="I123" s="10" t="s">
        <v>63</v>
      </c>
      <c r="J123" s="10" t="s">
        <v>152</v>
      </c>
      <c r="K123" s="10">
        <v>8</v>
      </c>
      <c r="L123" s="12">
        <v>189</v>
      </c>
      <c r="M123" s="12">
        <v>95</v>
      </c>
      <c r="N123" s="13">
        <v>0</v>
      </c>
    </row>
    <row r="124" spans="1:14">
      <c r="A124" s="10" t="s">
        <v>374</v>
      </c>
      <c r="B124" s="11">
        <v>46032</v>
      </c>
      <c r="C124" s="10" t="s">
        <v>41</v>
      </c>
      <c r="D124" s="10" t="s">
        <v>42</v>
      </c>
      <c r="E124" s="10" t="s">
        <v>43</v>
      </c>
      <c r="F124" s="10" t="s">
        <v>171</v>
      </c>
      <c r="G124" s="10" t="s">
        <v>86</v>
      </c>
      <c r="H124" s="10" t="s">
        <v>87</v>
      </c>
      <c r="I124" s="10" t="s">
        <v>63</v>
      </c>
      <c r="J124" s="10" t="s">
        <v>153</v>
      </c>
      <c r="K124" s="10">
        <v>8</v>
      </c>
      <c r="L124" s="12">
        <v>35</v>
      </c>
      <c r="M124" s="12">
        <v>14</v>
      </c>
      <c r="N124" s="13">
        <v>0.05</v>
      </c>
    </row>
    <row r="125" spans="1:14">
      <c r="A125" s="10" t="s">
        <v>299</v>
      </c>
      <c r="B125" s="11">
        <v>46198</v>
      </c>
      <c r="C125" s="10" t="s">
        <v>37</v>
      </c>
      <c r="D125" s="10" t="s">
        <v>38</v>
      </c>
      <c r="E125" s="10" t="s">
        <v>36</v>
      </c>
      <c r="F125" s="10" t="s">
        <v>175</v>
      </c>
      <c r="G125" s="10" t="s">
        <v>80</v>
      </c>
      <c r="H125" s="10" t="s">
        <v>81</v>
      </c>
      <c r="I125" s="10" t="s">
        <v>63</v>
      </c>
      <c r="J125" s="10" t="s">
        <v>150</v>
      </c>
      <c r="K125" s="10">
        <v>3</v>
      </c>
      <c r="L125" s="12">
        <v>180</v>
      </c>
      <c r="M125" s="12">
        <v>95</v>
      </c>
      <c r="N125" s="13">
        <v>0</v>
      </c>
    </row>
    <row r="126" spans="1:14">
      <c r="A126" s="10" t="s">
        <v>405</v>
      </c>
      <c r="B126" s="11">
        <v>46030</v>
      </c>
      <c r="C126" s="10" t="s">
        <v>37</v>
      </c>
      <c r="D126" s="10" t="s">
        <v>38</v>
      </c>
      <c r="E126" s="10" t="s">
        <v>36</v>
      </c>
      <c r="F126" s="10" t="s">
        <v>171</v>
      </c>
      <c r="G126" s="10" t="s">
        <v>100</v>
      </c>
      <c r="H126" s="10" t="s">
        <v>101</v>
      </c>
      <c r="I126" s="10" t="s">
        <v>58</v>
      </c>
      <c r="J126" s="10" t="s">
        <v>150</v>
      </c>
      <c r="K126" s="10">
        <v>1</v>
      </c>
      <c r="L126" s="12">
        <v>180</v>
      </c>
      <c r="M126" s="12">
        <v>95</v>
      </c>
      <c r="N126" s="13">
        <v>0</v>
      </c>
    </row>
    <row r="127" spans="1:14">
      <c r="A127" s="10" t="s">
        <v>438</v>
      </c>
      <c r="B127" s="11">
        <v>46044</v>
      </c>
      <c r="C127" s="10" t="s">
        <v>44</v>
      </c>
      <c r="D127" s="10" t="s">
        <v>45</v>
      </c>
      <c r="E127" s="10" t="s">
        <v>43</v>
      </c>
      <c r="F127" s="10" t="s">
        <v>171</v>
      </c>
      <c r="G127" s="10" t="s">
        <v>92</v>
      </c>
      <c r="H127" s="10" t="s">
        <v>93</v>
      </c>
      <c r="I127" s="10" t="s">
        <v>63</v>
      </c>
      <c r="J127" s="10" t="s">
        <v>153</v>
      </c>
      <c r="K127" s="10">
        <v>7</v>
      </c>
      <c r="L127" s="12">
        <v>20</v>
      </c>
      <c r="M127" s="12">
        <v>7</v>
      </c>
      <c r="N127" s="13">
        <v>0.05</v>
      </c>
    </row>
    <row r="128" spans="1:14">
      <c r="A128" s="10" t="s">
        <v>397</v>
      </c>
      <c r="B128" s="11">
        <v>46029</v>
      </c>
      <c r="C128" s="10" t="s">
        <v>39</v>
      </c>
      <c r="D128" s="10" t="s">
        <v>40</v>
      </c>
      <c r="E128" s="10" t="s">
        <v>36</v>
      </c>
      <c r="F128" s="10" t="s">
        <v>178</v>
      </c>
      <c r="G128" s="10" t="s">
        <v>94</v>
      </c>
      <c r="H128" s="10" t="s">
        <v>95</v>
      </c>
      <c r="I128" s="10" t="s">
        <v>58</v>
      </c>
      <c r="J128" s="10" t="s">
        <v>151</v>
      </c>
      <c r="K128" s="10">
        <v>1</v>
      </c>
      <c r="L128" s="12">
        <v>247</v>
      </c>
      <c r="M128" s="12">
        <v>155</v>
      </c>
      <c r="N128" s="13">
        <v>0.15</v>
      </c>
    </row>
    <row r="129" spans="1:14">
      <c r="A129" s="10" t="s">
        <v>204</v>
      </c>
      <c r="B129" s="11">
        <v>46139</v>
      </c>
      <c r="C129" s="10" t="s">
        <v>39</v>
      </c>
      <c r="D129" s="10" t="s">
        <v>40</v>
      </c>
      <c r="E129" s="10" t="s">
        <v>36</v>
      </c>
      <c r="F129" s="10" t="s">
        <v>175</v>
      </c>
      <c r="G129" s="10" t="s">
        <v>110</v>
      </c>
      <c r="H129" s="10" t="s">
        <v>111</v>
      </c>
      <c r="I129" s="10" t="s">
        <v>546</v>
      </c>
      <c r="J129" s="10" t="s">
        <v>151</v>
      </c>
      <c r="K129" s="10">
        <v>8</v>
      </c>
      <c r="L129" s="12">
        <v>260</v>
      </c>
      <c r="M129" s="12">
        <v>155</v>
      </c>
      <c r="N129" s="13">
        <v>0.15</v>
      </c>
    </row>
    <row r="130" spans="1:14">
      <c r="A130" s="10" t="s">
        <v>436</v>
      </c>
      <c r="B130" s="11">
        <v>46046</v>
      </c>
      <c r="C130" s="10" t="s">
        <v>46</v>
      </c>
      <c r="D130" s="10" t="s">
        <v>47</v>
      </c>
      <c r="E130" s="10" t="s">
        <v>43</v>
      </c>
      <c r="F130" s="10" t="s">
        <v>175</v>
      </c>
      <c r="G130" s="10" t="s">
        <v>66</v>
      </c>
      <c r="H130" s="10" t="s">
        <v>67</v>
      </c>
      <c r="I130" s="10" t="s">
        <v>58</v>
      </c>
      <c r="J130" s="10" t="s">
        <v>150</v>
      </c>
      <c r="K130" s="10">
        <v>3</v>
      </c>
      <c r="L130" s="12">
        <v>55</v>
      </c>
      <c r="M130" s="12">
        <v>22</v>
      </c>
      <c r="N130" s="13">
        <v>0.15</v>
      </c>
    </row>
    <row r="131" spans="1:14">
      <c r="A131" s="10" t="s">
        <v>351</v>
      </c>
      <c r="B131" s="11">
        <v>46093</v>
      </c>
      <c r="C131" s="10" t="s">
        <v>51</v>
      </c>
      <c r="D131" s="10" t="s">
        <v>52</v>
      </c>
      <c r="E131" s="10" t="s">
        <v>50</v>
      </c>
      <c r="F131" s="10" t="s">
        <v>175</v>
      </c>
      <c r="G131" s="10" t="s">
        <v>130</v>
      </c>
      <c r="H131" s="10" t="s">
        <v>131</v>
      </c>
      <c r="I131" s="10" t="s">
        <v>58</v>
      </c>
      <c r="J131" s="10" t="s">
        <v>151</v>
      </c>
      <c r="K131" s="10">
        <v>3</v>
      </c>
      <c r="L131" s="12">
        <v>136.5</v>
      </c>
      <c r="M131" s="12">
        <v>65</v>
      </c>
      <c r="N131" s="13">
        <v>0.15</v>
      </c>
    </row>
    <row r="132" spans="1:14">
      <c r="A132" s="10" t="s">
        <v>319</v>
      </c>
      <c r="B132" s="11">
        <v>46106</v>
      </c>
      <c r="C132" s="10" t="s">
        <v>39</v>
      </c>
      <c r="D132" s="10" t="s">
        <v>40</v>
      </c>
      <c r="E132" s="10" t="s">
        <v>36</v>
      </c>
      <c r="F132" s="10" t="s">
        <v>171</v>
      </c>
      <c r="G132" s="10" t="s">
        <v>64</v>
      </c>
      <c r="H132" s="10" t="s">
        <v>65</v>
      </c>
      <c r="I132" s="10" t="s">
        <v>58</v>
      </c>
      <c r="J132" s="10" t="s">
        <v>150</v>
      </c>
      <c r="K132" s="10">
        <v>2</v>
      </c>
      <c r="L132" s="12">
        <v>273</v>
      </c>
      <c r="M132" s="12">
        <v>155</v>
      </c>
      <c r="N132" s="13">
        <v>0.1</v>
      </c>
    </row>
    <row r="133" spans="1:14">
      <c r="A133" s="10" t="s">
        <v>461</v>
      </c>
      <c r="B133" s="11">
        <v>46197</v>
      </c>
      <c r="C133" s="10" t="s">
        <v>41</v>
      </c>
      <c r="D133" s="10" t="s">
        <v>42</v>
      </c>
      <c r="E133" s="10" t="s">
        <v>43</v>
      </c>
      <c r="F133" s="10" t="s">
        <v>171</v>
      </c>
      <c r="G133" s="10" t="s">
        <v>66</v>
      </c>
      <c r="H133" s="10" t="s">
        <v>67</v>
      </c>
      <c r="I133" s="10" t="s">
        <v>58</v>
      </c>
      <c r="J133" s="10" t="s">
        <v>151</v>
      </c>
      <c r="K133" s="10">
        <v>3</v>
      </c>
      <c r="L133" s="12">
        <v>35</v>
      </c>
      <c r="M133" s="12">
        <v>14</v>
      </c>
      <c r="N133" s="13">
        <v>0.05</v>
      </c>
    </row>
    <row r="134" spans="1:14">
      <c r="A134" s="10" t="s">
        <v>439</v>
      </c>
      <c r="B134" s="11">
        <v>46137</v>
      </c>
      <c r="C134" s="10" t="s">
        <v>51</v>
      </c>
      <c r="D134" s="10" t="s">
        <v>52</v>
      </c>
      <c r="E134" s="10" t="s">
        <v>50</v>
      </c>
      <c r="F134" s="10" t="s">
        <v>171</v>
      </c>
      <c r="G134" s="10" t="s">
        <v>90</v>
      </c>
      <c r="H134" s="10" t="s">
        <v>91</v>
      </c>
      <c r="I134" s="10" t="s">
        <v>58</v>
      </c>
      <c r="J134" s="10" t="s">
        <v>152</v>
      </c>
      <c r="K134" s="10">
        <v>1</v>
      </c>
      <c r="L134" s="12">
        <v>130</v>
      </c>
      <c r="M134" s="12">
        <v>65</v>
      </c>
      <c r="N134" s="13">
        <v>0</v>
      </c>
    </row>
    <row r="135" spans="1:14">
      <c r="A135" s="10" t="s">
        <v>450</v>
      </c>
      <c r="B135" s="11">
        <v>46130</v>
      </c>
      <c r="C135" s="10" t="s">
        <v>51</v>
      </c>
      <c r="D135" s="10" t="s">
        <v>52</v>
      </c>
      <c r="E135" s="10" t="s">
        <v>50</v>
      </c>
      <c r="F135" s="10" t="s">
        <v>175</v>
      </c>
      <c r="G135" s="10" t="s">
        <v>100</v>
      </c>
      <c r="H135" s="10" t="s">
        <v>101</v>
      </c>
      <c r="I135" s="10" t="s">
        <v>58</v>
      </c>
      <c r="J135" s="10" t="s">
        <v>152</v>
      </c>
      <c r="K135" s="10">
        <v>1</v>
      </c>
      <c r="L135" s="12">
        <v>130</v>
      </c>
      <c r="M135" s="12">
        <v>65</v>
      </c>
      <c r="N135" s="13">
        <v>0.1</v>
      </c>
    </row>
    <row r="136" spans="1:14">
      <c r="A136" s="10" t="s">
        <v>521</v>
      </c>
      <c r="B136" s="11">
        <v>46080</v>
      </c>
      <c r="C136" s="10" t="s">
        <v>44</v>
      </c>
      <c r="D136" s="10" t="s">
        <v>547</v>
      </c>
      <c r="E136" s="10" t="s">
        <v>43</v>
      </c>
      <c r="F136" s="10" t="s">
        <v>178</v>
      </c>
      <c r="G136" s="10" t="s">
        <v>106</v>
      </c>
      <c r="H136" s="10" t="s">
        <v>107</v>
      </c>
      <c r="I136" s="10" t="s">
        <v>58</v>
      </c>
      <c r="J136" s="10" t="s">
        <v>150</v>
      </c>
      <c r="K136" s="10">
        <v>1</v>
      </c>
      <c r="L136" s="12">
        <v>20</v>
      </c>
      <c r="M136" s="12">
        <v>7</v>
      </c>
      <c r="N136" s="13">
        <v>0</v>
      </c>
    </row>
    <row r="137" spans="1:14">
      <c r="A137" s="10" t="s">
        <v>399</v>
      </c>
      <c r="B137" s="11">
        <v>46048</v>
      </c>
      <c r="C137" s="10" t="s">
        <v>46</v>
      </c>
      <c r="D137" s="10" t="s">
        <v>47</v>
      </c>
      <c r="E137" s="10" t="s">
        <v>43</v>
      </c>
      <c r="F137" s="10" t="s">
        <v>173</v>
      </c>
      <c r="G137" s="10" t="s">
        <v>66</v>
      </c>
      <c r="H137" s="10" t="s">
        <v>67</v>
      </c>
      <c r="I137" s="10" t="s">
        <v>58</v>
      </c>
      <c r="J137" s="10" t="s">
        <v>153</v>
      </c>
      <c r="K137" s="10">
        <v>4</v>
      </c>
      <c r="L137" s="12">
        <v>55</v>
      </c>
      <c r="M137" s="12">
        <v>22</v>
      </c>
      <c r="N137" s="13">
        <v>0.05</v>
      </c>
    </row>
    <row r="138" spans="1:14">
      <c r="A138" s="10" t="s">
        <v>248</v>
      </c>
      <c r="B138" s="11">
        <v>46151</v>
      </c>
      <c r="C138" s="10" t="s">
        <v>39</v>
      </c>
      <c r="D138" s="10" t="s">
        <v>40</v>
      </c>
      <c r="E138" s="10" t="s">
        <v>36</v>
      </c>
      <c r="F138" s="10" t="s">
        <v>178</v>
      </c>
      <c r="G138" s="10" t="s">
        <v>108</v>
      </c>
      <c r="H138" s="10" t="s">
        <v>109</v>
      </c>
      <c r="I138" s="10" t="s">
        <v>58</v>
      </c>
      <c r="J138" s="10" t="s">
        <v>150</v>
      </c>
      <c r="K138" s="10">
        <v>4</v>
      </c>
      <c r="L138" s="12">
        <v>247</v>
      </c>
      <c r="M138" s="12">
        <v>155</v>
      </c>
      <c r="N138" s="13">
        <v>0</v>
      </c>
    </row>
    <row r="139" spans="1:14">
      <c r="A139" s="10" t="s">
        <v>225</v>
      </c>
      <c r="B139" s="11">
        <v>46149</v>
      </c>
      <c r="C139" s="10" t="s">
        <v>34</v>
      </c>
      <c r="D139" s="10" t="s">
        <v>35</v>
      </c>
      <c r="E139" s="10" t="s">
        <v>36</v>
      </c>
      <c r="F139" s="10" t="s">
        <v>178</v>
      </c>
      <c r="G139" s="10" t="s">
        <v>68</v>
      </c>
      <c r="H139" s="10" t="s">
        <v>69</v>
      </c>
      <c r="I139" s="10" t="s">
        <v>63</v>
      </c>
      <c r="J139" s="10" t="s">
        <v>151</v>
      </c>
      <c r="K139" s="10">
        <v>2</v>
      </c>
      <c r="L139" s="12">
        <v>650</v>
      </c>
      <c r="M139" s="12">
        <v>430</v>
      </c>
      <c r="N139" s="13">
        <v>0</v>
      </c>
    </row>
    <row r="140" spans="1:14">
      <c r="A140" s="10" t="s">
        <v>473</v>
      </c>
      <c r="B140" s="11">
        <v>46198</v>
      </c>
      <c r="C140" s="10" t="s">
        <v>44</v>
      </c>
      <c r="D140" s="10" t="s">
        <v>45</v>
      </c>
      <c r="E140" s="10" t="s">
        <v>43</v>
      </c>
      <c r="F140" s="10" t="s">
        <v>173</v>
      </c>
      <c r="G140" s="10" t="s">
        <v>96</v>
      </c>
      <c r="H140" s="10" t="s">
        <v>97</v>
      </c>
      <c r="I140" s="10" t="s">
        <v>58</v>
      </c>
      <c r="J140" s="10" t="s">
        <v>152</v>
      </c>
      <c r="K140" s="10">
        <v>4</v>
      </c>
      <c r="L140" s="12">
        <v>20</v>
      </c>
      <c r="M140" s="12">
        <v>7</v>
      </c>
      <c r="N140" s="13">
        <v>0</v>
      </c>
    </row>
    <row r="141" spans="1:14">
      <c r="A141" s="10" t="s">
        <v>395</v>
      </c>
      <c r="B141" s="11">
        <v>46140</v>
      </c>
      <c r="C141" s="10" t="s">
        <v>41</v>
      </c>
      <c r="D141" s="10" t="s">
        <v>42</v>
      </c>
      <c r="E141" s="10" t="s">
        <v>43</v>
      </c>
      <c r="F141" s="10" t="s">
        <v>175</v>
      </c>
      <c r="G141" s="10" t="s">
        <v>128</v>
      </c>
      <c r="H141" s="10" t="s">
        <v>129</v>
      </c>
      <c r="I141" s="10" t="s">
        <v>63</v>
      </c>
      <c r="J141" s="10" t="s">
        <v>153</v>
      </c>
      <c r="K141" s="10">
        <v>6</v>
      </c>
      <c r="L141" s="12">
        <v>36.75</v>
      </c>
      <c r="M141" s="12">
        <v>14</v>
      </c>
      <c r="N141" s="13">
        <v>0</v>
      </c>
    </row>
    <row r="142" spans="1:14">
      <c r="A142" s="10" t="s">
        <v>267</v>
      </c>
      <c r="B142" s="11">
        <v>46070</v>
      </c>
      <c r="C142" s="10" t="s">
        <v>37</v>
      </c>
      <c r="D142" s="10" t="s">
        <v>38</v>
      </c>
      <c r="E142" s="10" t="s">
        <v>36</v>
      </c>
      <c r="F142" s="10" t="s">
        <v>175</v>
      </c>
      <c r="G142" s="10" t="s">
        <v>120</v>
      </c>
      <c r="H142" s="10" t="s">
        <v>121</v>
      </c>
      <c r="I142" s="10" t="s">
        <v>58</v>
      </c>
      <c r="J142" s="10" t="s">
        <v>152</v>
      </c>
      <c r="K142" s="10">
        <v>4</v>
      </c>
      <c r="L142" s="12">
        <v>180</v>
      </c>
      <c r="M142" s="12">
        <v>95</v>
      </c>
      <c r="N142" s="13">
        <v>0</v>
      </c>
    </row>
    <row r="143" spans="1:14">
      <c r="A143" s="10" t="s">
        <v>346</v>
      </c>
      <c r="B143" s="11">
        <v>46162</v>
      </c>
      <c r="C143" s="10" t="s">
        <v>37</v>
      </c>
      <c r="D143" s="10" t="s">
        <v>38</v>
      </c>
      <c r="E143" s="10" t="s">
        <v>36</v>
      </c>
      <c r="F143" s="10" t="s">
        <v>173</v>
      </c>
      <c r="G143" s="10" t="s">
        <v>68</v>
      </c>
      <c r="H143" s="10" t="s">
        <v>69</v>
      </c>
      <c r="I143" s="10" t="s">
        <v>63</v>
      </c>
      <c r="J143" s="10" t="s">
        <v>153</v>
      </c>
      <c r="K143" s="10">
        <v>2</v>
      </c>
      <c r="L143" s="12">
        <v>180</v>
      </c>
      <c r="M143" s="12">
        <v>95</v>
      </c>
      <c r="N143" s="13">
        <v>0</v>
      </c>
    </row>
    <row r="144" spans="1:14">
      <c r="A144" s="10" t="s">
        <v>307</v>
      </c>
      <c r="B144" s="11">
        <v>46050</v>
      </c>
      <c r="C144" s="10" t="s">
        <v>39</v>
      </c>
      <c r="D144" s="10" t="s">
        <v>40</v>
      </c>
      <c r="E144" s="10" t="s">
        <v>36</v>
      </c>
      <c r="F144" s="10" t="s">
        <v>173</v>
      </c>
      <c r="G144" s="10" t="s">
        <v>76</v>
      </c>
      <c r="H144" s="10" t="s">
        <v>77</v>
      </c>
      <c r="I144" s="10" t="s">
        <v>58</v>
      </c>
      <c r="J144" s="10" t="s">
        <v>153</v>
      </c>
      <c r="K144" s="10">
        <v>2</v>
      </c>
      <c r="L144" s="12">
        <v>260</v>
      </c>
      <c r="M144" s="12">
        <v>155</v>
      </c>
      <c r="N144" s="13">
        <v>0</v>
      </c>
    </row>
    <row r="145" spans="1:14">
      <c r="A145" s="10" t="s">
        <v>255</v>
      </c>
      <c r="B145" s="11">
        <v>46096</v>
      </c>
      <c r="C145" s="10" t="s">
        <v>48</v>
      </c>
      <c r="D145" s="10" t="s">
        <v>49</v>
      </c>
      <c r="E145" s="10" t="s">
        <v>50</v>
      </c>
      <c r="F145" s="10" t="s">
        <v>173</v>
      </c>
      <c r="G145" s="10" t="s">
        <v>74</v>
      </c>
      <c r="H145" s="10" t="s">
        <v>75</v>
      </c>
      <c r="I145" s="10" t="s">
        <v>63</v>
      </c>
      <c r="J145" s="10" t="s">
        <v>153</v>
      </c>
      <c r="K145" s="10">
        <v>6</v>
      </c>
      <c r="L145" s="12">
        <v>170</v>
      </c>
      <c r="M145" s="12">
        <v>95</v>
      </c>
      <c r="N145" s="13">
        <v>0.15</v>
      </c>
    </row>
    <row r="146" spans="1:14">
      <c r="A146" s="10" t="s">
        <v>221</v>
      </c>
      <c r="B146" s="11">
        <v>46134</v>
      </c>
      <c r="C146" s="10" t="s">
        <v>39</v>
      </c>
      <c r="D146" s="10" t="s">
        <v>40</v>
      </c>
      <c r="E146" s="10" t="s">
        <v>36</v>
      </c>
      <c r="F146" s="10" t="s">
        <v>171</v>
      </c>
      <c r="G146" s="10" t="s">
        <v>68</v>
      </c>
      <c r="H146" s="10" t="s">
        <v>69</v>
      </c>
      <c r="I146" s="10" t="s">
        <v>63</v>
      </c>
      <c r="J146" s="10" t="s">
        <v>152</v>
      </c>
      <c r="K146" s="10">
        <v>5</v>
      </c>
      <c r="L146" s="12">
        <v>273</v>
      </c>
      <c r="M146" s="12">
        <v>155</v>
      </c>
      <c r="N146" s="13">
        <v>0</v>
      </c>
    </row>
    <row r="147" spans="1:14">
      <c r="A147" s="10" t="s">
        <v>491</v>
      </c>
      <c r="B147" s="11">
        <v>46072</v>
      </c>
      <c r="C147" s="10" t="s">
        <v>41</v>
      </c>
      <c r="D147" s="10" t="s">
        <v>42</v>
      </c>
      <c r="E147" s="10" t="s">
        <v>43</v>
      </c>
      <c r="F147" s="10" t="s">
        <v>537</v>
      </c>
      <c r="G147" s="10" t="s">
        <v>59</v>
      </c>
      <c r="H147" s="10" t="s">
        <v>60</v>
      </c>
      <c r="I147" s="10" t="s">
        <v>58</v>
      </c>
      <c r="J147" s="10" t="s">
        <v>152</v>
      </c>
      <c r="K147" s="10">
        <v>2</v>
      </c>
      <c r="L147" s="12">
        <v>33.25</v>
      </c>
      <c r="M147" s="12">
        <v>14</v>
      </c>
      <c r="N147" s="13">
        <v>0.1</v>
      </c>
    </row>
    <row r="148" spans="1:14">
      <c r="A148" s="10" t="s">
        <v>548</v>
      </c>
      <c r="B148" s="11">
        <v>46025</v>
      </c>
      <c r="C148" s="10" t="s">
        <v>48</v>
      </c>
      <c r="D148" s="10" t="s">
        <v>49</v>
      </c>
      <c r="E148" s="10" t="s">
        <v>50</v>
      </c>
      <c r="F148" s="10" t="s">
        <v>171</v>
      </c>
      <c r="G148" s="10" t="s">
        <v>98</v>
      </c>
      <c r="H148" s="10" t="s">
        <v>99</v>
      </c>
      <c r="I148" s="10" t="s">
        <v>63</v>
      </c>
      <c r="J148" s="10" t="s">
        <v>153</v>
      </c>
      <c r="K148" s="10"/>
      <c r="L148" s="12">
        <v>170</v>
      </c>
      <c r="M148" s="12">
        <v>95</v>
      </c>
      <c r="N148" s="13">
        <v>0</v>
      </c>
    </row>
    <row r="149" spans="1:14">
      <c r="A149" s="10" t="s">
        <v>415</v>
      </c>
      <c r="B149" s="11">
        <v>46056</v>
      </c>
      <c r="C149" s="10" t="s">
        <v>46</v>
      </c>
      <c r="D149" s="10" t="s">
        <v>47</v>
      </c>
      <c r="E149" s="10"/>
      <c r="F149" s="10" t="s">
        <v>175</v>
      </c>
      <c r="G149" s="10" t="s">
        <v>108</v>
      </c>
      <c r="H149" s="10" t="s">
        <v>109</v>
      </c>
      <c r="I149" s="10" t="s">
        <v>58</v>
      </c>
      <c r="J149" s="10" t="s">
        <v>151</v>
      </c>
      <c r="K149" s="10">
        <v>3</v>
      </c>
      <c r="L149" s="12">
        <v>55</v>
      </c>
      <c r="M149" s="12">
        <v>22</v>
      </c>
      <c r="N149" s="13">
        <v>0</v>
      </c>
    </row>
    <row r="150" spans="1:14">
      <c r="A150" s="10" t="s">
        <v>310</v>
      </c>
      <c r="B150" s="11">
        <v>46118</v>
      </c>
      <c r="C150" s="10" t="s">
        <v>48</v>
      </c>
      <c r="D150" s="10" t="s">
        <v>49</v>
      </c>
      <c r="E150" s="10" t="s">
        <v>50</v>
      </c>
      <c r="F150" s="10" t="s">
        <v>175</v>
      </c>
      <c r="G150" s="10" t="s">
        <v>90</v>
      </c>
      <c r="H150" s="10" t="s">
        <v>91</v>
      </c>
      <c r="I150" s="10" t="s">
        <v>58</v>
      </c>
      <c r="J150" s="10" t="s">
        <v>152</v>
      </c>
      <c r="K150" s="10">
        <v>3</v>
      </c>
      <c r="L150" s="12">
        <v>170</v>
      </c>
      <c r="M150" s="12">
        <v>95</v>
      </c>
      <c r="N150" s="13">
        <v>0</v>
      </c>
    </row>
    <row r="151" spans="1:14">
      <c r="A151" s="10" t="s">
        <v>484</v>
      </c>
      <c r="B151" s="11">
        <v>46182</v>
      </c>
      <c r="C151" s="10" t="s">
        <v>44</v>
      </c>
      <c r="D151" s="10" t="s">
        <v>45</v>
      </c>
      <c r="E151" s="10" t="s">
        <v>43</v>
      </c>
      <c r="F151" s="10" t="s">
        <v>175</v>
      </c>
      <c r="G151" s="10" t="s">
        <v>114</v>
      </c>
      <c r="H151" s="10" t="s">
        <v>115</v>
      </c>
      <c r="I151" s="10" t="s">
        <v>58</v>
      </c>
      <c r="J151" s="10" t="s">
        <v>152</v>
      </c>
      <c r="K151" s="10">
        <v>4</v>
      </c>
      <c r="L151" s="12">
        <v>19</v>
      </c>
      <c r="M151" s="12">
        <v>7</v>
      </c>
      <c r="N151" s="13">
        <v>0.05</v>
      </c>
    </row>
    <row r="152" spans="1:14">
      <c r="A152" s="10" t="s">
        <v>484</v>
      </c>
      <c r="B152" s="11">
        <v>46182</v>
      </c>
      <c r="C152" s="10" t="s">
        <v>44</v>
      </c>
      <c r="D152" s="10" t="s">
        <v>45</v>
      </c>
      <c r="E152" s="10" t="s">
        <v>43</v>
      </c>
      <c r="F152" s="10" t="s">
        <v>175</v>
      </c>
      <c r="G152" s="10" t="s">
        <v>114</v>
      </c>
      <c r="H152" s="10" t="s">
        <v>115</v>
      </c>
      <c r="I152" s="10" t="s">
        <v>58</v>
      </c>
      <c r="J152" s="10" t="s">
        <v>152</v>
      </c>
      <c r="K152" s="10">
        <v>4</v>
      </c>
      <c r="L152" s="12">
        <v>19</v>
      </c>
      <c r="M152" s="12">
        <v>7</v>
      </c>
      <c r="N152" s="13">
        <v>0.05</v>
      </c>
    </row>
    <row r="153" spans="1:14">
      <c r="A153" s="10" t="s">
        <v>213</v>
      </c>
      <c r="B153" s="11">
        <v>46175</v>
      </c>
      <c r="C153" s="10" t="s">
        <v>48</v>
      </c>
      <c r="D153" s="10" t="s">
        <v>49</v>
      </c>
      <c r="E153" s="10" t="s">
        <v>50</v>
      </c>
      <c r="F153" s="10" t="s">
        <v>173</v>
      </c>
      <c r="G153" s="10" t="s">
        <v>122</v>
      </c>
      <c r="H153" s="10" t="s">
        <v>123</v>
      </c>
      <c r="I153" s="10" t="s">
        <v>63</v>
      </c>
      <c r="J153" s="10" t="s">
        <v>153</v>
      </c>
      <c r="K153" s="10">
        <v>9</v>
      </c>
      <c r="L153" s="12">
        <v>170</v>
      </c>
      <c r="M153" s="12">
        <v>95</v>
      </c>
      <c r="N153" s="13">
        <v>0</v>
      </c>
    </row>
    <row r="154" spans="1:14">
      <c r="A154" s="10" t="s">
        <v>406</v>
      </c>
      <c r="B154" s="11">
        <v>46087</v>
      </c>
      <c r="C154" s="10" t="s">
        <v>37</v>
      </c>
      <c r="D154" s="10" t="s">
        <v>38</v>
      </c>
      <c r="E154" s="10" t="s">
        <v>36</v>
      </c>
      <c r="F154" s="10" t="s">
        <v>178</v>
      </c>
      <c r="G154" s="10" t="s">
        <v>102</v>
      </c>
      <c r="H154" s="10" t="s">
        <v>103</v>
      </c>
      <c r="I154" s="10" t="s">
        <v>58</v>
      </c>
      <c r="J154" s="10" t="s">
        <v>152</v>
      </c>
      <c r="K154" s="10">
        <v>1</v>
      </c>
      <c r="L154" s="12">
        <v>180</v>
      </c>
      <c r="M154" s="12">
        <v>95</v>
      </c>
      <c r="N154" s="13">
        <v>0</v>
      </c>
    </row>
    <row r="155" spans="1:14">
      <c r="A155" s="10" t="s">
        <v>382</v>
      </c>
      <c r="B155" s="11">
        <v>46091</v>
      </c>
      <c r="C155" s="10" t="s">
        <v>39</v>
      </c>
      <c r="D155" s="10" t="s">
        <v>40</v>
      </c>
      <c r="E155" s="10" t="s">
        <v>36</v>
      </c>
      <c r="F155" s="10" t="s">
        <v>171</v>
      </c>
      <c r="G155" s="10" t="s">
        <v>72</v>
      </c>
      <c r="H155" s="10" t="s">
        <v>73</v>
      </c>
      <c r="I155" s="10" t="s">
        <v>58</v>
      </c>
      <c r="J155" s="10" t="s">
        <v>150</v>
      </c>
      <c r="K155" s="10">
        <v>1</v>
      </c>
      <c r="L155" s="12">
        <v>260</v>
      </c>
      <c r="M155" s="12">
        <v>155</v>
      </c>
      <c r="N155" s="13">
        <v>0.05</v>
      </c>
    </row>
    <row r="156" spans="1:14">
      <c r="A156" s="10" t="s">
        <v>228</v>
      </c>
      <c r="B156" s="11">
        <v>46138</v>
      </c>
      <c r="C156" s="10" t="s">
        <v>37</v>
      </c>
      <c r="D156" s="10" t="s">
        <v>38</v>
      </c>
      <c r="E156" s="10" t="s">
        <v>36</v>
      </c>
      <c r="F156" s="10" t="s">
        <v>178</v>
      </c>
      <c r="G156" s="10" t="s">
        <v>92</v>
      </c>
      <c r="H156" s="10" t="s">
        <v>93</v>
      </c>
      <c r="I156" s="10" t="s">
        <v>63</v>
      </c>
      <c r="J156" s="10" t="s">
        <v>150</v>
      </c>
      <c r="K156" s="10">
        <v>7</v>
      </c>
      <c r="L156" s="12">
        <v>180</v>
      </c>
      <c r="M156" s="12">
        <v>95</v>
      </c>
      <c r="N156" s="13">
        <v>0</v>
      </c>
    </row>
    <row r="157" spans="1:14">
      <c r="A157" s="10" t="s">
        <v>428</v>
      </c>
      <c r="B157" s="11">
        <v>46067</v>
      </c>
      <c r="C157" s="10" t="s">
        <v>41</v>
      </c>
      <c r="D157" s="10" t="s">
        <v>42</v>
      </c>
      <c r="E157" s="10" t="s">
        <v>43</v>
      </c>
      <c r="F157" s="10" t="s">
        <v>178</v>
      </c>
      <c r="G157" s="10" t="s">
        <v>116</v>
      </c>
      <c r="H157" s="10" t="s">
        <v>117</v>
      </c>
      <c r="I157" s="10" t="s">
        <v>63</v>
      </c>
      <c r="J157" s="10" t="s">
        <v>545</v>
      </c>
      <c r="K157" s="10">
        <v>5</v>
      </c>
      <c r="L157" s="12">
        <v>35</v>
      </c>
      <c r="M157" s="12">
        <v>14</v>
      </c>
      <c r="N157" s="13">
        <v>0.15</v>
      </c>
    </row>
    <row r="158" spans="1:14">
      <c r="A158" s="10" t="s">
        <v>195</v>
      </c>
      <c r="B158" s="11">
        <v>46112</v>
      </c>
      <c r="C158" s="10" t="s">
        <v>34</v>
      </c>
      <c r="D158" s="10" t="s">
        <v>35</v>
      </c>
      <c r="E158" s="10" t="s">
        <v>36</v>
      </c>
      <c r="F158" s="10" t="s">
        <v>175</v>
      </c>
      <c r="G158" s="10" t="s">
        <v>124</v>
      </c>
      <c r="H158" s="10" t="s">
        <v>125</v>
      </c>
      <c r="I158" s="10" t="s">
        <v>58</v>
      </c>
      <c r="J158" s="10" t="s">
        <v>152</v>
      </c>
      <c r="K158" s="10">
        <v>3</v>
      </c>
      <c r="L158" s="12">
        <v>650</v>
      </c>
      <c r="M158" s="12">
        <v>430</v>
      </c>
      <c r="N158" s="13">
        <v>0</v>
      </c>
    </row>
    <row r="159" spans="1:14">
      <c r="A159" s="10" t="s">
        <v>352</v>
      </c>
      <c r="B159" s="11">
        <v>46202</v>
      </c>
      <c r="C159" s="10" t="s">
        <v>41</v>
      </c>
      <c r="D159" s="10" t="s">
        <v>42</v>
      </c>
      <c r="E159" s="10" t="s">
        <v>43</v>
      </c>
      <c r="F159" s="10" t="s">
        <v>178</v>
      </c>
      <c r="G159" s="10" t="s">
        <v>128</v>
      </c>
      <c r="H159" s="10" t="s">
        <v>129</v>
      </c>
      <c r="I159" s="10" t="s">
        <v>63</v>
      </c>
      <c r="J159" s="10" t="s">
        <v>153</v>
      </c>
      <c r="K159" s="10">
        <v>11</v>
      </c>
      <c r="L159" s="12">
        <v>35</v>
      </c>
      <c r="M159" s="12">
        <v>14</v>
      </c>
      <c r="N159" s="13">
        <v>0.1</v>
      </c>
    </row>
    <row r="160" spans="1:14">
      <c r="A160" s="10" t="s">
        <v>279</v>
      </c>
      <c r="B160" s="11">
        <v>46182</v>
      </c>
      <c r="C160" s="10" t="s">
        <v>48</v>
      </c>
      <c r="D160" s="10" t="s">
        <v>49</v>
      </c>
      <c r="E160" s="10" t="s">
        <v>50</v>
      </c>
      <c r="F160" s="10" t="s">
        <v>171</v>
      </c>
      <c r="G160" s="10" t="s">
        <v>126</v>
      </c>
      <c r="H160" s="10" t="s">
        <v>127</v>
      </c>
      <c r="I160" s="10" t="s">
        <v>58</v>
      </c>
      <c r="J160" s="10" t="s">
        <v>151</v>
      </c>
      <c r="K160" s="10">
        <v>4</v>
      </c>
      <c r="L160" s="12">
        <v>170</v>
      </c>
      <c r="M160" s="12">
        <v>95</v>
      </c>
      <c r="N160" s="13">
        <v>0</v>
      </c>
    </row>
    <row r="161" spans="1:14">
      <c r="A161" s="10" t="s">
        <v>354</v>
      </c>
      <c r="B161" s="11">
        <v>46059</v>
      </c>
      <c r="C161" s="10" t="s">
        <v>48</v>
      </c>
      <c r="D161" s="10" t="s">
        <v>49</v>
      </c>
      <c r="E161" s="10" t="s">
        <v>50</v>
      </c>
      <c r="F161" s="10" t="s">
        <v>173</v>
      </c>
      <c r="G161" s="10" t="s">
        <v>72</v>
      </c>
      <c r="H161" s="10" t="s">
        <v>73</v>
      </c>
      <c r="I161" s="10" t="s">
        <v>58</v>
      </c>
      <c r="J161" s="10" t="s">
        <v>153</v>
      </c>
      <c r="K161" s="10">
        <v>2</v>
      </c>
      <c r="L161" s="12">
        <v>170</v>
      </c>
      <c r="M161" s="12">
        <v>95</v>
      </c>
      <c r="N161" s="13">
        <v>0</v>
      </c>
    </row>
    <row r="162" spans="1:14">
      <c r="A162" s="10" t="s">
        <v>365</v>
      </c>
      <c r="B162" s="11">
        <v>46165</v>
      </c>
      <c r="C162" s="10" t="s">
        <v>48</v>
      </c>
      <c r="D162" s="10" t="s">
        <v>49</v>
      </c>
      <c r="E162" s="10" t="s">
        <v>50</v>
      </c>
      <c r="F162" s="10" t="s">
        <v>178</v>
      </c>
      <c r="G162" s="10" t="s">
        <v>64</v>
      </c>
      <c r="H162" s="10" t="s">
        <v>65</v>
      </c>
      <c r="I162" s="10" t="s">
        <v>58</v>
      </c>
      <c r="J162" s="10" t="s">
        <v>150</v>
      </c>
      <c r="K162" s="10">
        <v>2</v>
      </c>
      <c r="L162" s="12">
        <v>170</v>
      </c>
      <c r="M162" s="12">
        <v>95</v>
      </c>
      <c r="N162" s="13">
        <v>0.15</v>
      </c>
    </row>
    <row r="163" spans="1:14">
      <c r="A163" s="10" t="s">
        <v>353</v>
      </c>
      <c r="B163" s="11">
        <v>46096</v>
      </c>
      <c r="C163" s="10" t="s">
        <v>37</v>
      </c>
      <c r="D163" s="10" t="s">
        <v>38</v>
      </c>
      <c r="E163" s="10" t="s">
        <v>36</v>
      </c>
      <c r="F163" s="10" t="s">
        <v>175</v>
      </c>
      <c r="G163" s="10" t="s">
        <v>108</v>
      </c>
      <c r="H163" s="10" t="s">
        <v>109</v>
      </c>
      <c r="I163" s="10" t="s">
        <v>58</v>
      </c>
      <c r="J163" s="10" t="s">
        <v>150</v>
      </c>
      <c r="K163" s="10">
        <v>2</v>
      </c>
      <c r="L163" s="12">
        <v>171</v>
      </c>
      <c r="M163" s="12">
        <v>95</v>
      </c>
      <c r="N163" s="13">
        <v>0</v>
      </c>
    </row>
    <row r="164" spans="1:14">
      <c r="A164" s="10" t="s">
        <v>510</v>
      </c>
      <c r="B164" s="11">
        <v>46072</v>
      </c>
      <c r="C164" s="10" t="s">
        <v>41</v>
      </c>
      <c r="D164" s="10" t="s">
        <v>42</v>
      </c>
      <c r="E164" s="10" t="s">
        <v>43</v>
      </c>
      <c r="F164" s="10" t="s">
        <v>175</v>
      </c>
      <c r="G164" s="10" t="s">
        <v>106</v>
      </c>
      <c r="H164" s="10" t="s">
        <v>107</v>
      </c>
      <c r="I164" s="10" t="s">
        <v>58</v>
      </c>
      <c r="J164" s="10" t="s">
        <v>152</v>
      </c>
      <c r="K164" s="10">
        <v>1</v>
      </c>
      <c r="L164" s="12">
        <v>36.75</v>
      </c>
      <c r="M164" s="12">
        <v>14</v>
      </c>
      <c r="N164" s="13">
        <v>0</v>
      </c>
    </row>
    <row r="165" spans="1:14">
      <c r="A165" s="10" t="s">
        <v>425</v>
      </c>
      <c r="B165" s="11">
        <v>46085</v>
      </c>
      <c r="C165" s="10" t="s">
        <v>46</v>
      </c>
      <c r="D165" s="10" t="s">
        <v>47</v>
      </c>
      <c r="E165" s="10" t="s">
        <v>43</v>
      </c>
      <c r="F165" s="10" t="s">
        <v>171</v>
      </c>
      <c r="G165" s="10" t="s">
        <v>88</v>
      </c>
      <c r="H165" s="10" t="s">
        <v>89</v>
      </c>
      <c r="I165" s="10" t="s">
        <v>58</v>
      </c>
      <c r="J165" s="10" t="s">
        <v>153</v>
      </c>
      <c r="K165" s="10">
        <v>3</v>
      </c>
      <c r="L165" s="12">
        <v>52.25</v>
      </c>
      <c r="M165" s="12">
        <v>22</v>
      </c>
      <c r="N165" s="13">
        <v>0</v>
      </c>
    </row>
    <row r="166" spans="1:14">
      <c r="A166" s="10" t="s">
        <v>272</v>
      </c>
      <c r="B166" s="11">
        <v>46198</v>
      </c>
      <c r="C166" s="10" t="s">
        <v>39</v>
      </c>
      <c r="D166" s="10" t="s">
        <v>40</v>
      </c>
      <c r="E166" s="10" t="s">
        <v>36</v>
      </c>
      <c r="F166" s="10" t="s">
        <v>175</v>
      </c>
      <c r="G166" s="10" t="s">
        <v>94</v>
      </c>
      <c r="H166" s="10" t="s">
        <v>95</v>
      </c>
      <c r="I166" s="10" t="s">
        <v>58</v>
      </c>
      <c r="J166" s="10" t="s">
        <v>153</v>
      </c>
      <c r="K166" s="10">
        <v>3</v>
      </c>
      <c r="L166" s="12">
        <v>260</v>
      </c>
      <c r="M166" s="12">
        <v>155</v>
      </c>
      <c r="N166" s="13">
        <v>0.1</v>
      </c>
    </row>
    <row r="167" spans="1:14">
      <c r="A167" s="10" t="s">
        <v>263</v>
      </c>
      <c r="B167" s="11">
        <v>46033</v>
      </c>
      <c r="C167" s="10" t="s">
        <v>39</v>
      </c>
      <c r="D167" s="10" t="s">
        <v>40</v>
      </c>
      <c r="E167" s="10" t="s">
        <v>36</v>
      </c>
      <c r="F167" s="10" t="s">
        <v>178</v>
      </c>
      <c r="G167" s="10" t="s">
        <v>59</v>
      </c>
      <c r="H167" s="10" t="s">
        <v>60</v>
      </c>
      <c r="I167" s="10" t="s">
        <v>58</v>
      </c>
      <c r="J167" s="10" t="s">
        <v>150</v>
      </c>
      <c r="K167" s="10">
        <v>3</v>
      </c>
      <c r="L167" s="12">
        <v>260</v>
      </c>
      <c r="M167" s="12">
        <v>155</v>
      </c>
      <c r="N167" s="13">
        <v>0</v>
      </c>
    </row>
    <row r="168" spans="1:14">
      <c r="A168" s="10" t="s">
        <v>472</v>
      </c>
      <c r="B168" s="11">
        <v>46163</v>
      </c>
      <c r="C168" s="10" t="s">
        <v>44</v>
      </c>
      <c r="D168" s="10" t="s">
        <v>45</v>
      </c>
      <c r="E168" s="10" t="s">
        <v>43</v>
      </c>
      <c r="F168" s="10" t="s">
        <v>171</v>
      </c>
      <c r="G168" s="10" t="s">
        <v>136</v>
      </c>
      <c r="H168" s="10"/>
      <c r="I168" s="10" t="s">
        <v>58</v>
      </c>
      <c r="J168" s="10" t="s">
        <v>150</v>
      </c>
      <c r="K168" s="10">
        <v>4</v>
      </c>
      <c r="L168" s="12">
        <v>21</v>
      </c>
      <c r="M168" s="12">
        <v>7</v>
      </c>
      <c r="N168" s="13">
        <v>0</v>
      </c>
    </row>
    <row r="169" spans="1:14">
      <c r="A169" s="10" t="s">
        <v>342</v>
      </c>
      <c r="B169" s="11">
        <v>46096</v>
      </c>
      <c r="C169" s="10" t="s">
        <v>51</v>
      </c>
      <c r="D169" s="10" t="s">
        <v>52</v>
      </c>
      <c r="E169" s="10" t="s">
        <v>50</v>
      </c>
      <c r="F169" s="10" t="s">
        <v>178</v>
      </c>
      <c r="G169" s="10" t="s">
        <v>130</v>
      </c>
      <c r="H169" s="10" t="s">
        <v>131</v>
      </c>
      <c r="I169" s="10" t="s">
        <v>58</v>
      </c>
      <c r="J169" s="10" t="s">
        <v>150</v>
      </c>
      <c r="K169" s="10">
        <v>3</v>
      </c>
      <c r="L169" s="12">
        <v>130</v>
      </c>
      <c r="M169" s="12">
        <v>65</v>
      </c>
      <c r="N169" s="13">
        <v>0.05</v>
      </c>
    </row>
    <row r="170" spans="1:14">
      <c r="A170" s="10" t="s">
        <v>502</v>
      </c>
      <c r="B170" s="11">
        <v>46145</v>
      </c>
      <c r="C170" s="10" t="s">
        <v>46</v>
      </c>
      <c r="D170" s="10" t="s">
        <v>47</v>
      </c>
      <c r="E170" s="10" t="s">
        <v>43</v>
      </c>
      <c r="F170" s="10" t="s">
        <v>178</v>
      </c>
      <c r="G170" s="10" t="s">
        <v>64</v>
      </c>
      <c r="H170" s="10" t="s">
        <v>65</v>
      </c>
      <c r="I170" s="10" t="s">
        <v>58</v>
      </c>
      <c r="J170" s="10" t="s">
        <v>152</v>
      </c>
      <c r="K170" s="10">
        <v>1</v>
      </c>
      <c r="L170" s="12">
        <v>55</v>
      </c>
      <c r="M170" s="12">
        <v>22</v>
      </c>
      <c r="N170" s="13">
        <v>0.1</v>
      </c>
    </row>
    <row r="171" spans="1:14">
      <c r="A171" s="10" t="s">
        <v>180</v>
      </c>
      <c r="B171" s="11">
        <v>46137</v>
      </c>
      <c r="C171" s="10" t="s">
        <v>39</v>
      </c>
      <c r="D171" s="10" t="s">
        <v>40</v>
      </c>
      <c r="E171" s="10" t="s">
        <v>36</v>
      </c>
      <c r="F171" s="10" t="s">
        <v>175</v>
      </c>
      <c r="G171" s="10" t="s">
        <v>104</v>
      </c>
      <c r="H171" s="10" t="s">
        <v>105</v>
      </c>
      <c r="I171" s="10" t="s">
        <v>63</v>
      </c>
      <c r="J171" s="10" t="s">
        <v>151</v>
      </c>
      <c r="K171" s="10">
        <v>12</v>
      </c>
      <c r="L171" s="12">
        <v>273</v>
      </c>
      <c r="M171" s="12">
        <v>155</v>
      </c>
      <c r="N171" s="13">
        <v>0</v>
      </c>
    </row>
    <row r="172" spans="1:14">
      <c r="A172" s="10" t="s">
        <v>371</v>
      </c>
      <c r="B172" s="11">
        <v>46137</v>
      </c>
      <c r="C172" s="10" t="s">
        <v>39</v>
      </c>
      <c r="D172" s="10" t="s">
        <v>40</v>
      </c>
      <c r="E172" s="10" t="s">
        <v>36</v>
      </c>
      <c r="F172" s="10" t="s">
        <v>171</v>
      </c>
      <c r="G172" s="10" t="s">
        <v>132</v>
      </c>
      <c r="H172" s="10" t="s">
        <v>133</v>
      </c>
      <c r="I172" s="10" t="s">
        <v>58</v>
      </c>
      <c r="J172" s="10" t="s">
        <v>152</v>
      </c>
      <c r="K172" s="10">
        <v>1</v>
      </c>
      <c r="L172" s="12">
        <v>273</v>
      </c>
      <c r="M172" s="12">
        <v>155</v>
      </c>
      <c r="N172" s="13">
        <v>0</v>
      </c>
    </row>
    <row r="173" spans="1:14">
      <c r="A173" s="10" t="s">
        <v>362</v>
      </c>
      <c r="B173" s="11">
        <v>46043</v>
      </c>
      <c r="C173" s="10" t="s">
        <v>41</v>
      </c>
      <c r="D173" s="10" t="s">
        <v>42</v>
      </c>
      <c r="E173" s="10" t="s">
        <v>43</v>
      </c>
      <c r="F173" s="10" t="s">
        <v>175</v>
      </c>
      <c r="G173" s="10" t="s">
        <v>110</v>
      </c>
      <c r="H173" s="10" t="s">
        <v>111</v>
      </c>
      <c r="I173" s="10" t="s">
        <v>63</v>
      </c>
      <c r="J173" s="10" t="s">
        <v>150</v>
      </c>
      <c r="K173" s="10">
        <v>9</v>
      </c>
      <c r="L173" s="12">
        <v>33.25</v>
      </c>
      <c r="M173" s="12">
        <v>14</v>
      </c>
      <c r="N173" s="13">
        <v>0</v>
      </c>
    </row>
    <row r="174" spans="1:14">
      <c r="A174" s="10" t="s">
        <v>432</v>
      </c>
      <c r="B174" s="11">
        <v>46130</v>
      </c>
      <c r="C174" s="10" t="s">
        <v>41</v>
      </c>
      <c r="D174" s="10" t="s">
        <v>42</v>
      </c>
      <c r="E174" s="10" t="s">
        <v>43</v>
      </c>
      <c r="F174" s="10" t="s">
        <v>171</v>
      </c>
      <c r="G174" s="10" t="s">
        <v>82</v>
      </c>
      <c r="H174" s="10" t="s">
        <v>83</v>
      </c>
      <c r="I174" s="10" t="s">
        <v>58</v>
      </c>
      <c r="J174" s="10" t="s">
        <v>153</v>
      </c>
      <c r="K174" s="10">
        <v>4</v>
      </c>
      <c r="L174" s="12">
        <v>36.75</v>
      </c>
      <c r="M174" s="12">
        <v>14</v>
      </c>
      <c r="N174" s="13">
        <v>0</v>
      </c>
    </row>
    <row r="175" spans="1:14">
      <c r="A175" s="10" t="s">
        <v>193</v>
      </c>
      <c r="B175" s="11">
        <v>46157</v>
      </c>
      <c r="C175" s="10" t="s">
        <v>48</v>
      </c>
      <c r="D175" s="10" t="s">
        <v>49</v>
      </c>
      <c r="E175" s="10" t="s">
        <v>50</v>
      </c>
      <c r="F175" s="10" t="s">
        <v>537</v>
      </c>
      <c r="G175" s="10" t="s">
        <v>61</v>
      </c>
      <c r="H175" s="10" t="s">
        <v>62</v>
      </c>
      <c r="I175" s="10" t="s">
        <v>63</v>
      </c>
      <c r="J175" s="10" t="s">
        <v>152</v>
      </c>
      <c r="K175" s="10">
        <v>12</v>
      </c>
      <c r="L175" s="12">
        <v>170</v>
      </c>
      <c r="M175" s="12">
        <v>95</v>
      </c>
      <c r="N175" s="13">
        <v>0</v>
      </c>
    </row>
    <row r="176" spans="1:14">
      <c r="A176" s="10" t="s">
        <v>214</v>
      </c>
      <c r="B176" s="11">
        <v>46165</v>
      </c>
      <c r="C176" s="10" t="s">
        <v>48</v>
      </c>
      <c r="D176" s="10" t="s">
        <v>538</v>
      </c>
      <c r="E176" s="10" t="s">
        <v>50</v>
      </c>
      <c r="F176" s="10" t="s">
        <v>173</v>
      </c>
      <c r="G176" s="10" t="s">
        <v>110</v>
      </c>
      <c r="H176" s="10" t="s">
        <v>111</v>
      </c>
      <c r="I176" s="10" t="s">
        <v>63</v>
      </c>
      <c r="J176" s="10" t="s">
        <v>150</v>
      </c>
      <c r="K176" s="10">
        <v>9</v>
      </c>
      <c r="L176" s="12">
        <v>170</v>
      </c>
      <c r="M176" s="12">
        <v>95</v>
      </c>
      <c r="N176" s="13">
        <v>0</v>
      </c>
    </row>
    <row r="177" spans="1:14">
      <c r="A177" s="10" t="s">
        <v>238</v>
      </c>
      <c r="B177" s="11">
        <v>46187</v>
      </c>
      <c r="C177" s="10" t="s">
        <v>34</v>
      </c>
      <c r="D177" s="10" t="s">
        <v>35</v>
      </c>
      <c r="E177" s="10" t="s">
        <v>36</v>
      </c>
      <c r="F177" s="10" t="s">
        <v>171</v>
      </c>
      <c r="G177" s="10" t="s">
        <v>126</v>
      </c>
      <c r="H177" s="10" t="s">
        <v>127</v>
      </c>
      <c r="I177" s="10" t="s">
        <v>58</v>
      </c>
      <c r="J177" s="10" t="s">
        <v>153</v>
      </c>
      <c r="K177" s="10">
        <v>2</v>
      </c>
      <c r="L177" s="12">
        <v>617.5</v>
      </c>
      <c r="M177" s="12">
        <v>430</v>
      </c>
      <c r="N177" s="13">
        <v>0.05</v>
      </c>
    </row>
    <row r="178" spans="1:14">
      <c r="A178" s="10" t="s">
        <v>419</v>
      </c>
      <c r="B178" s="11">
        <v>46050</v>
      </c>
      <c r="C178" s="10" t="s">
        <v>48</v>
      </c>
      <c r="D178" s="10" t="s">
        <v>49</v>
      </c>
      <c r="E178" s="10" t="s">
        <v>50</v>
      </c>
      <c r="F178" s="10" t="s">
        <v>178</v>
      </c>
      <c r="G178" s="10" t="s">
        <v>118</v>
      </c>
      <c r="H178" s="10" t="s">
        <v>119</v>
      </c>
      <c r="I178" s="10" t="s">
        <v>58</v>
      </c>
      <c r="J178" s="10" t="s">
        <v>152</v>
      </c>
      <c r="K178" s="10">
        <v>1</v>
      </c>
      <c r="L178" s="12">
        <v>170</v>
      </c>
      <c r="M178" s="12">
        <v>95</v>
      </c>
      <c r="N178" s="13">
        <v>0.05</v>
      </c>
    </row>
    <row r="179" spans="1:14">
      <c r="A179" s="10" t="s">
        <v>486</v>
      </c>
      <c r="B179" s="11">
        <v>46180</v>
      </c>
      <c r="C179" s="10" t="s">
        <v>41</v>
      </c>
      <c r="D179" s="10" t="s">
        <v>42</v>
      </c>
      <c r="E179" s="10" t="s">
        <v>43</v>
      </c>
      <c r="F179" s="10" t="s">
        <v>175</v>
      </c>
      <c r="G179" s="10" t="s">
        <v>126</v>
      </c>
      <c r="H179" s="10" t="s">
        <v>127</v>
      </c>
      <c r="I179" s="10" t="s">
        <v>58</v>
      </c>
      <c r="J179" s="10" t="s">
        <v>152</v>
      </c>
      <c r="K179" s="10">
        <v>2</v>
      </c>
      <c r="L179" s="12">
        <v>35</v>
      </c>
      <c r="M179" s="12">
        <v>14</v>
      </c>
      <c r="N179" s="13">
        <v>0</v>
      </c>
    </row>
    <row r="180" spans="1:14">
      <c r="A180" s="10" t="s">
        <v>444</v>
      </c>
      <c r="B180" s="11">
        <v>46067</v>
      </c>
      <c r="C180" s="10" t="s">
        <v>41</v>
      </c>
      <c r="D180" s="10" t="s">
        <v>42</v>
      </c>
      <c r="E180" s="10" t="s">
        <v>43</v>
      </c>
      <c r="F180" s="10" t="s">
        <v>178</v>
      </c>
      <c r="G180" s="10" t="s">
        <v>84</v>
      </c>
      <c r="H180" s="10" t="s">
        <v>85</v>
      </c>
      <c r="I180" s="10" t="s">
        <v>58</v>
      </c>
      <c r="J180" s="10" t="s">
        <v>152</v>
      </c>
      <c r="K180" s="10">
        <v>4</v>
      </c>
      <c r="L180" s="12">
        <v>36.75</v>
      </c>
      <c r="M180" s="12">
        <v>14</v>
      </c>
      <c r="N180" s="13">
        <v>0.15</v>
      </c>
    </row>
    <row r="181" spans="1:14">
      <c r="A181" s="10" t="s">
        <v>331</v>
      </c>
      <c r="B181" s="11">
        <v>46045</v>
      </c>
      <c r="C181" s="10" t="s">
        <v>51</v>
      </c>
      <c r="D181" s="10" t="s">
        <v>52</v>
      </c>
      <c r="E181" s="10" t="s">
        <v>50</v>
      </c>
      <c r="F181" s="10" t="s">
        <v>171</v>
      </c>
      <c r="G181" s="10" t="s">
        <v>136</v>
      </c>
      <c r="H181" s="10" t="s">
        <v>137</v>
      </c>
      <c r="I181" s="10" t="s">
        <v>58</v>
      </c>
      <c r="J181" s="10" t="s">
        <v>151</v>
      </c>
      <c r="K181" s="10">
        <v>4</v>
      </c>
      <c r="L181" s="12">
        <v>130</v>
      </c>
      <c r="M181" s="12">
        <v>65</v>
      </c>
      <c r="N181" s="13">
        <v>0.15</v>
      </c>
    </row>
    <row r="182" spans="1:14">
      <c r="A182" s="10" t="s">
        <v>274</v>
      </c>
      <c r="B182" s="11">
        <v>46179</v>
      </c>
      <c r="C182" s="10" t="s">
        <v>37</v>
      </c>
      <c r="D182" s="10" t="s">
        <v>38</v>
      </c>
      <c r="E182" s="10" t="s">
        <v>36</v>
      </c>
      <c r="F182" s="10" t="s">
        <v>175</v>
      </c>
      <c r="G182" s="10" t="s">
        <v>120</v>
      </c>
      <c r="H182" s="10" t="s">
        <v>121</v>
      </c>
      <c r="I182" s="10" t="s">
        <v>58</v>
      </c>
      <c r="J182" s="10" t="s">
        <v>150</v>
      </c>
      <c r="K182" s="10">
        <v>4</v>
      </c>
      <c r="L182" s="12">
        <v>180</v>
      </c>
      <c r="M182" s="12">
        <v>95</v>
      </c>
      <c r="N182" s="13">
        <v>0.05</v>
      </c>
    </row>
    <row r="183" spans="1:14">
      <c r="A183" s="10" t="s">
        <v>199</v>
      </c>
      <c r="B183" s="11">
        <v>46162</v>
      </c>
      <c r="C183" s="10" t="s">
        <v>34</v>
      </c>
      <c r="D183" s="10" t="s">
        <v>35</v>
      </c>
      <c r="E183" s="10" t="s">
        <v>36</v>
      </c>
      <c r="F183" s="10" t="s">
        <v>171</v>
      </c>
      <c r="G183" s="10" t="s">
        <v>134</v>
      </c>
      <c r="H183" s="10" t="s">
        <v>135</v>
      </c>
      <c r="I183" s="10" t="s">
        <v>63</v>
      </c>
      <c r="J183" s="10" t="s">
        <v>153</v>
      </c>
      <c r="K183" s="10">
        <v>3</v>
      </c>
      <c r="L183" s="12">
        <v>682.5</v>
      </c>
      <c r="M183" s="12">
        <v>430</v>
      </c>
      <c r="N183" s="13">
        <v>0.05</v>
      </c>
    </row>
    <row r="184" spans="1:14">
      <c r="A184" s="10" t="s">
        <v>525</v>
      </c>
      <c r="B184" s="11">
        <v>46188</v>
      </c>
      <c r="C184" s="10" t="s">
        <v>44</v>
      </c>
      <c r="D184" s="10" t="s">
        <v>45</v>
      </c>
      <c r="E184" s="10" t="s">
        <v>43</v>
      </c>
      <c r="F184" s="10" t="s">
        <v>173</v>
      </c>
      <c r="G184" s="10" t="s">
        <v>106</v>
      </c>
      <c r="H184" s="10" t="s">
        <v>107</v>
      </c>
      <c r="I184" s="10" t="s">
        <v>58</v>
      </c>
      <c r="J184" s="10" t="s">
        <v>151</v>
      </c>
      <c r="K184" s="10">
        <v>1</v>
      </c>
      <c r="L184" s="12">
        <v>20</v>
      </c>
      <c r="M184" s="12">
        <v>7</v>
      </c>
      <c r="N184" s="13">
        <v>0.05</v>
      </c>
    </row>
    <row r="185" spans="1:14">
      <c r="A185" s="10" t="s">
        <v>448</v>
      </c>
      <c r="B185" s="11">
        <v>46118</v>
      </c>
      <c r="C185" s="10" t="s">
        <v>41</v>
      </c>
      <c r="D185" s="10" t="s">
        <v>42</v>
      </c>
      <c r="E185" s="10" t="s">
        <v>43</v>
      </c>
      <c r="F185" s="10" t="s">
        <v>175</v>
      </c>
      <c r="G185" s="10" t="s">
        <v>96</v>
      </c>
      <c r="H185" s="10" t="s">
        <v>97</v>
      </c>
      <c r="I185" s="10" t="s">
        <v>58</v>
      </c>
      <c r="J185" s="10" t="s">
        <v>151</v>
      </c>
      <c r="K185" s="10">
        <v>4</v>
      </c>
      <c r="L185" s="12">
        <v>35</v>
      </c>
      <c r="M185" s="12">
        <v>14</v>
      </c>
      <c r="N185" s="13">
        <v>0.15</v>
      </c>
    </row>
    <row r="186" spans="1:14">
      <c r="A186" s="10" t="s">
        <v>516</v>
      </c>
      <c r="B186" s="11">
        <v>46025</v>
      </c>
      <c r="C186" s="10" t="s">
        <v>44</v>
      </c>
      <c r="D186" s="10" t="s">
        <v>45</v>
      </c>
      <c r="E186" s="10" t="s">
        <v>43</v>
      </c>
      <c r="F186" s="10" t="s">
        <v>173</v>
      </c>
      <c r="G186" s="10" t="s">
        <v>130</v>
      </c>
      <c r="H186" s="10" t="s">
        <v>131</v>
      </c>
      <c r="I186" s="10" t="s">
        <v>58</v>
      </c>
      <c r="J186" s="10" t="s">
        <v>150</v>
      </c>
      <c r="K186" s="10">
        <v>2</v>
      </c>
      <c r="L186" s="12">
        <v>19</v>
      </c>
      <c r="M186" s="12">
        <v>7</v>
      </c>
      <c r="N186" s="13">
        <v>0.15</v>
      </c>
    </row>
    <row r="187" spans="1:14">
      <c r="A187" s="10" t="s">
        <v>291</v>
      </c>
      <c r="B187" s="11">
        <v>46160</v>
      </c>
      <c r="C187" s="10" t="s">
        <v>46</v>
      </c>
      <c r="D187" s="10" t="s">
        <v>47</v>
      </c>
      <c r="E187" s="10" t="s">
        <v>43</v>
      </c>
      <c r="F187" s="10" t="s">
        <v>178</v>
      </c>
      <c r="G187" s="10" t="s">
        <v>110</v>
      </c>
      <c r="H187" s="10" t="s">
        <v>111</v>
      </c>
      <c r="I187" s="10" t="s">
        <v>63</v>
      </c>
      <c r="J187" s="10" t="s">
        <v>150</v>
      </c>
      <c r="K187" s="10">
        <v>11</v>
      </c>
      <c r="L187" s="12">
        <v>55</v>
      </c>
      <c r="M187" s="12">
        <v>22</v>
      </c>
      <c r="N187" s="13">
        <v>0</v>
      </c>
    </row>
    <row r="188" spans="1:14">
      <c r="A188" s="10" t="s">
        <v>372</v>
      </c>
      <c r="B188" s="11">
        <v>46187</v>
      </c>
      <c r="C188" s="10" t="s">
        <v>51</v>
      </c>
      <c r="D188" s="10" t="s">
        <v>52</v>
      </c>
      <c r="E188" s="10" t="s">
        <v>50</v>
      </c>
      <c r="F188" s="10" t="s">
        <v>171</v>
      </c>
      <c r="G188" s="10" t="s">
        <v>118</v>
      </c>
      <c r="H188" s="10" t="s">
        <v>119</v>
      </c>
      <c r="I188" s="10" t="s">
        <v>58</v>
      </c>
      <c r="J188" s="10" t="s">
        <v>152</v>
      </c>
      <c r="K188" s="10">
        <v>2</v>
      </c>
      <c r="L188" s="12">
        <v>136.5</v>
      </c>
      <c r="M188" s="12">
        <v>65</v>
      </c>
      <c r="N188" s="13">
        <v>0</v>
      </c>
    </row>
    <row r="189" spans="1:14">
      <c r="A189" s="10" t="s">
        <v>518</v>
      </c>
      <c r="B189" s="11">
        <v>46192</v>
      </c>
      <c r="C189" s="10" t="s">
        <v>41</v>
      </c>
      <c r="D189" s="10" t="s">
        <v>42</v>
      </c>
      <c r="E189" s="10" t="s">
        <v>43</v>
      </c>
      <c r="F189" s="10" t="s">
        <v>173</v>
      </c>
      <c r="G189" s="10" t="s">
        <v>132</v>
      </c>
      <c r="H189" s="10" t="s">
        <v>133</v>
      </c>
      <c r="I189" s="10" t="s">
        <v>58</v>
      </c>
      <c r="J189" s="10" t="s">
        <v>151</v>
      </c>
      <c r="K189" s="10">
        <v>1</v>
      </c>
      <c r="L189" s="12">
        <v>35</v>
      </c>
      <c r="M189" s="12"/>
      <c r="N189" s="13">
        <v>0.1</v>
      </c>
    </row>
    <row r="190" spans="1:14">
      <c r="A190" s="10" t="s">
        <v>172</v>
      </c>
      <c r="B190" s="11">
        <v>46084</v>
      </c>
      <c r="C190" s="10" t="s">
        <v>34</v>
      </c>
      <c r="D190" s="10" t="s">
        <v>35</v>
      </c>
      <c r="E190" s="10" t="s">
        <v>36</v>
      </c>
      <c r="F190" s="10" t="s">
        <v>173</v>
      </c>
      <c r="G190" s="10" t="s">
        <v>98</v>
      </c>
      <c r="H190" s="10" t="s">
        <v>99</v>
      </c>
      <c r="I190" s="10" t="s">
        <v>63</v>
      </c>
      <c r="J190" s="10" t="s">
        <v>150</v>
      </c>
      <c r="K190" s="10">
        <v>10</v>
      </c>
      <c r="L190" s="12">
        <v>617.5</v>
      </c>
      <c r="M190" s="12">
        <v>430</v>
      </c>
      <c r="N190" s="13">
        <v>0</v>
      </c>
    </row>
    <row r="191" spans="1:14">
      <c r="A191" s="10" t="s">
        <v>445</v>
      </c>
      <c r="B191" s="11">
        <v>46114</v>
      </c>
      <c r="C191" s="10" t="s">
        <v>51</v>
      </c>
      <c r="D191" s="10" t="s">
        <v>52</v>
      </c>
      <c r="E191" s="10" t="s">
        <v>50</v>
      </c>
      <c r="F191" s="10" t="s">
        <v>173</v>
      </c>
      <c r="G191" s="10" t="s">
        <v>98</v>
      </c>
      <c r="H191" s="10" t="s">
        <v>99</v>
      </c>
      <c r="I191" s="10" t="s">
        <v>63</v>
      </c>
      <c r="J191" s="10" t="s">
        <v>153</v>
      </c>
      <c r="K191" s="10">
        <v>1</v>
      </c>
      <c r="L191" s="12">
        <v>123.5</v>
      </c>
      <c r="M191" s="12">
        <v>65</v>
      </c>
      <c r="N191" s="13">
        <v>0</v>
      </c>
    </row>
    <row r="192" spans="1:14">
      <c r="A192" s="10" t="s">
        <v>259</v>
      </c>
      <c r="B192" s="11">
        <v>46043</v>
      </c>
      <c r="C192" s="10" t="s">
        <v>39</v>
      </c>
      <c r="D192" s="10" t="s">
        <v>40</v>
      </c>
      <c r="E192" s="10" t="s">
        <v>36</v>
      </c>
      <c r="F192" s="10" t="s">
        <v>178</v>
      </c>
      <c r="G192" s="10" t="s">
        <v>114</v>
      </c>
      <c r="H192" s="10" t="s">
        <v>115</v>
      </c>
      <c r="I192" s="10" t="s">
        <v>58</v>
      </c>
      <c r="J192" s="10" t="s">
        <v>151</v>
      </c>
      <c r="K192" s="10">
        <v>3</v>
      </c>
      <c r="L192" s="12">
        <v>273</v>
      </c>
      <c r="M192" s="12">
        <v>155</v>
      </c>
      <c r="N192" s="13">
        <v>0</v>
      </c>
    </row>
    <row r="193" spans="1:14">
      <c r="A193" s="10" t="s">
        <v>244</v>
      </c>
      <c r="B193" s="11">
        <v>46117</v>
      </c>
      <c r="C193" s="10" t="s">
        <v>39</v>
      </c>
      <c r="D193" s="10" t="s">
        <v>40</v>
      </c>
      <c r="E193" s="10" t="s">
        <v>36</v>
      </c>
      <c r="F193" s="10" t="s">
        <v>178</v>
      </c>
      <c r="G193" s="10" t="s">
        <v>128</v>
      </c>
      <c r="H193" s="10" t="s">
        <v>129</v>
      </c>
      <c r="I193" s="10" t="s">
        <v>63</v>
      </c>
      <c r="J193" s="10" t="s">
        <v>152</v>
      </c>
      <c r="K193" s="10">
        <v>4</v>
      </c>
      <c r="L193" s="12">
        <v>260</v>
      </c>
      <c r="M193" s="12">
        <v>155</v>
      </c>
      <c r="N193" s="13">
        <v>0</v>
      </c>
    </row>
    <row r="194" spans="1:14">
      <c r="A194" s="10" t="s">
        <v>474</v>
      </c>
      <c r="B194" s="11">
        <v>46080</v>
      </c>
      <c r="C194" s="10" t="s">
        <v>44</v>
      </c>
      <c r="D194" s="10" t="s">
        <v>45</v>
      </c>
      <c r="E194" s="10" t="s">
        <v>43</v>
      </c>
      <c r="F194" s="10" t="s">
        <v>178</v>
      </c>
      <c r="G194" s="10" t="s">
        <v>59</v>
      </c>
      <c r="H194" s="10" t="s">
        <v>60</v>
      </c>
      <c r="I194" s="10" t="s">
        <v>58</v>
      </c>
      <c r="J194" s="10" t="s">
        <v>153</v>
      </c>
      <c r="K194" s="10">
        <v>4</v>
      </c>
      <c r="L194" s="12">
        <v>20</v>
      </c>
      <c r="M194" s="12">
        <v>7</v>
      </c>
      <c r="N194" s="13">
        <v>0</v>
      </c>
    </row>
    <row r="195" spans="1:14">
      <c r="A195" s="10" t="s">
        <v>412</v>
      </c>
      <c r="B195" s="11">
        <v>46155</v>
      </c>
      <c r="C195" s="10" t="s">
        <v>44</v>
      </c>
      <c r="D195" s="10" t="s">
        <v>45</v>
      </c>
      <c r="E195" s="10" t="s">
        <v>43</v>
      </c>
      <c r="F195" s="10" t="s">
        <v>175</v>
      </c>
      <c r="G195" s="10" t="s">
        <v>80</v>
      </c>
      <c r="H195" s="10" t="s">
        <v>81</v>
      </c>
      <c r="I195" s="10" t="s">
        <v>63</v>
      </c>
      <c r="J195" s="10" t="s">
        <v>153</v>
      </c>
      <c r="K195" s="10">
        <v>10</v>
      </c>
      <c r="L195" s="12">
        <v>20</v>
      </c>
      <c r="M195" s="12">
        <v>7</v>
      </c>
      <c r="N195" s="13">
        <v>0.15</v>
      </c>
    </row>
    <row r="196" spans="1:14">
      <c r="A196" s="10" t="s">
        <v>293</v>
      </c>
      <c r="B196" s="11">
        <v>46112</v>
      </c>
      <c r="C196" s="10" t="s">
        <v>34</v>
      </c>
      <c r="D196" s="10" t="s">
        <v>35</v>
      </c>
      <c r="E196" s="10" t="s">
        <v>36</v>
      </c>
      <c r="F196" s="10" t="s">
        <v>175</v>
      </c>
      <c r="G196" s="10" t="s">
        <v>70</v>
      </c>
      <c r="H196" s="10" t="s">
        <v>71</v>
      </c>
      <c r="I196" s="10" t="s">
        <v>58</v>
      </c>
      <c r="J196" s="10" t="s">
        <v>150</v>
      </c>
      <c r="K196" s="10">
        <v>1</v>
      </c>
      <c r="L196" s="12">
        <v>682.5</v>
      </c>
      <c r="M196" s="12">
        <v>430</v>
      </c>
      <c r="N196" s="13">
        <v>0.15</v>
      </c>
    </row>
    <row r="197" spans="1:14">
      <c r="A197" s="10" t="s">
        <v>446</v>
      </c>
      <c r="B197" s="11">
        <v>46119</v>
      </c>
      <c r="C197" s="10" t="s">
        <v>51</v>
      </c>
      <c r="D197" s="10" t="s">
        <v>52</v>
      </c>
      <c r="E197" s="10" t="s">
        <v>50</v>
      </c>
      <c r="F197" s="10" t="s">
        <v>173</v>
      </c>
      <c r="G197" s="10" t="s">
        <v>106</v>
      </c>
      <c r="H197" s="10" t="s">
        <v>107</v>
      </c>
      <c r="I197" s="10" t="s">
        <v>58</v>
      </c>
      <c r="J197" s="10" t="s">
        <v>152</v>
      </c>
      <c r="K197" s="10">
        <v>1</v>
      </c>
      <c r="L197" s="12">
        <v>123.5</v>
      </c>
      <c r="M197" s="12">
        <v>65</v>
      </c>
      <c r="N197" s="13">
        <v>0</v>
      </c>
    </row>
    <row r="198" spans="1:14">
      <c r="A198" s="10" t="s">
        <v>437</v>
      </c>
      <c r="B198" s="11">
        <v>46026</v>
      </c>
      <c r="C198" s="10" t="s">
        <v>41</v>
      </c>
      <c r="D198" s="10" t="s">
        <v>42</v>
      </c>
      <c r="E198" s="10" t="s">
        <v>43</v>
      </c>
      <c r="F198" s="10" t="s">
        <v>171</v>
      </c>
      <c r="G198" s="10" t="s">
        <v>82</v>
      </c>
      <c r="H198" s="10" t="s">
        <v>83</v>
      </c>
      <c r="I198" s="10" t="s">
        <v>58</v>
      </c>
      <c r="J198" s="10" t="s">
        <v>152</v>
      </c>
      <c r="K198" s="10">
        <v>4</v>
      </c>
      <c r="L198" s="12">
        <v>35</v>
      </c>
      <c r="M198" s="12">
        <v>14</v>
      </c>
      <c r="N198" s="13">
        <v>0</v>
      </c>
    </row>
    <row r="199" spans="1:14">
      <c r="A199" s="10" t="s">
        <v>302</v>
      </c>
      <c r="B199" s="11">
        <v>46135</v>
      </c>
      <c r="C199" s="10" t="s">
        <v>46</v>
      </c>
      <c r="D199" s="10" t="s">
        <v>47</v>
      </c>
      <c r="E199" s="10" t="s">
        <v>43</v>
      </c>
      <c r="F199" s="10" t="s">
        <v>171</v>
      </c>
      <c r="G199" s="10" t="s">
        <v>122</v>
      </c>
      <c r="H199" s="10" t="s">
        <v>123</v>
      </c>
      <c r="I199" s="10" t="s">
        <v>63</v>
      </c>
      <c r="J199" s="10" t="s">
        <v>150</v>
      </c>
      <c r="K199" s="10">
        <v>11</v>
      </c>
      <c r="L199" s="12">
        <v>57.75</v>
      </c>
      <c r="M199" s="12">
        <v>22</v>
      </c>
      <c r="N199" s="13">
        <v>0.15</v>
      </c>
    </row>
    <row r="200" spans="1:14">
      <c r="A200" s="10" t="s">
        <v>201</v>
      </c>
      <c r="B200" s="11">
        <v>46036</v>
      </c>
      <c r="C200" s="10" t="s">
        <v>48</v>
      </c>
      <c r="D200" s="10" t="s">
        <v>49</v>
      </c>
      <c r="E200" s="10" t="s">
        <v>50</v>
      </c>
      <c r="F200" s="10" t="s">
        <v>178</v>
      </c>
      <c r="G200" s="10" t="s">
        <v>98</v>
      </c>
      <c r="H200" s="10" t="s">
        <v>99</v>
      </c>
      <c r="I200" s="10" t="s">
        <v>63</v>
      </c>
      <c r="J200" s="10" t="s">
        <v>545</v>
      </c>
      <c r="K200" s="10">
        <v>11</v>
      </c>
      <c r="L200" s="12">
        <v>170</v>
      </c>
      <c r="M200" s="12">
        <v>95</v>
      </c>
      <c r="N200" s="13">
        <v>0</v>
      </c>
    </row>
    <row r="201" spans="1:14">
      <c r="A201" s="10" t="s">
        <v>283</v>
      </c>
      <c r="B201" s="11">
        <v>46101</v>
      </c>
      <c r="C201" s="10" t="s">
        <v>37</v>
      </c>
      <c r="D201" s="10" t="s">
        <v>38</v>
      </c>
      <c r="E201" s="10" t="s">
        <v>36</v>
      </c>
      <c r="F201" s="10" t="s">
        <v>175</v>
      </c>
      <c r="G201" s="10" t="s">
        <v>59</v>
      </c>
      <c r="H201" s="10" t="s">
        <v>60</v>
      </c>
      <c r="I201" s="10" t="s">
        <v>58</v>
      </c>
      <c r="J201" s="10" t="s">
        <v>150</v>
      </c>
      <c r="K201" s="10">
        <v>4</v>
      </c>
      <c r="L201" s="12">
        <v>180</v>
      </c>
      <c r="M201" s="12">
        <v>95</v>
      </c>
      <c r="N201" s="13">
        <v>0.1</v>
      </c>
    </row>
    <row r="202" spans="1:14">
      <c r="A202" s="10" t="s">
        <v>468</v>
      </c>
      <c r="B202" s="11">
        <v>46171</v>
      </c>
      <c r="C202" s="10" t="s">
        <v>41</v>
      </c>
      <c r="D202" s="10" t="s">
        <v>42</v>
      </c>
      <c r="E202" s="10" t="s">
        <v>43</v>
      </c>
      <c r="F202" s="10" t="s">
        <v>540</v>
      </c>
      <c r="G202" s="10" t="s">
        <v>61</v>
      </c>
      <c r="H202" s="10" t="s">
        <v>62</v>
      </c>
      <c r="I202" s="10" t="s">
        <v>63</v>
      </c>
      <c r="J202" s="10" t="s">
        <v>152</v>
      </c>
      <c r="K202" s="10">
        <v>3</v>
      </c>
      <c r="L202" s="12">
        <v>36.75</v>
      </c>
      <c r="M202" s="12">
        <v>14</v>
      </c>
      <c r="N202" s="13">
        <v>0.15</v>
      </c>
    </row>
    <row r="203" spans="1:14">
      <c r="A203" s="10" t="s">
        <v>314</v>
      </c>
      <c r="B203" s="11">
        <v>46137</v>
      </c>
      <c r="C203" s="10" t="s">
        <v>51</v>
      </c>
      <c r="D203" s="10" t="s">
        <v>52</v>
      </c>
      <c r="E203" s="10" t="s">
        <v>50</v>
      </c>
      <c r="F203" s="10" t="s">
        <v>178</v>
      </c>
      <c r="G203" s="10" t="s">
        <v>78</v>
      </c>
      <c r="H203" s="10" t="s">
        <v>79</v>
      </c>
      <c r="I203" s="10" t="s">
        <v>58</v>
      </c>
      <c r="J203" s="10" t="s">
        <v>153</v>
      </c>
      <c r="K203" s="10">
        <v>4</v>
      </c>
      <c r="L203" s="12">
        <v>130</v>
      </c>
      <c r="M203" s="12">
        <v>65</v>
      </c>
      <c r="N203" s="13">
        <v>0.05</v>
      </c>
    </row>
    <row r="204" spans="1:14">
      <c r="A204" s="10" t="s">
        <v>229</v>
      </c>
      <c r="B204" s="11">
        <v>46201</v>
      </c>
      <c r="C204" s="10" t="s">
        <v>37</v>
      </c>
      <c r="D204" s="10" t="s">
        <v>38</v>
      </c>
      <c r="E204" s="10" t="s">
        <v>36</v>
      </c>
      <c r="F204" s="10" t="s">
        <v>171</v>
      </c>
      <c r="G204" s="10" t="s">
        <v>110</v>
      </c>
      <c r="H204" s="10" t="s">
        <v>111</v>
      </c>
      <c r="I204" s="10" t="s">
        <v>63</v>
      </c>
      <c r="J204" s="10" t="s">
        <v>151</v>
      </c>
      <c r="K204" s="10">
        <v>7</v>
      </c>
      <c r="L204" s="12">
        <v>180</v>
      </c>
      <c r="M204" s="12">
        <v>95</v>
      </c>
      <c r="N204" s="13">
        <v>0</v>
      </c>
    </row>
    <row r="205" spans="1:14">
      <c r="A205" s="10" t="s">
        <v>217</v>
      </c>
      <c r="B205" s="11">
        <v>46130</v>
      </c>
      <c r="C205" s="10" t="s">
        <v>48</v>
      </c>
      <c r="D205" s="10" t="s">
        <v>49</v>
      </c>
      <c r="E205" s="10" t="s">
        <v>50</v>
      </c>
      <c r="F205" s="10" t="s">
        <v>173</v>
      </c>
      <c r="G205" s="10" t="s">
        <v>110</v>
      </c>
      <c r="H205" s="10" t="s">
        <v>111</v>
      </c>
      <c r="I205" s="10" t="s">
        <v>63</v>
      </c>
      <c r="J205" s="10" t="s">
        <v>152</v>
      </c>
      <c r="K205" s="10">
        <v>9</v>
      </c>
      <c r="L205" s="12">
        <v>170</v>
      </c>
      <c r="M205" s="12">
        <v>95</v>
      </c>
      <c r="N205" s="13">
        <v>0.05</v>
      </c>
    </row>
    <row r="206" spans="1:14">
      <c r="A206" s="10" t="s">
        <v>416</v>
      </c>
      <c r="B206" s="11">
        <v>46106</v>
      </c>
      <c r="C206" s="10" t="s">
        <v>46</v>
      </c>
      <c r="D206" s="10" t="s">
        <v>47</v>
      </c>
      <c r="E206" s="10" t="s">
        <v>43</v>
      </c>
      <c r="F206" s="10" t="s">
        <v>171</v>
      </c>
      <c r="G206" s="10" t="s">
        <v>112</v>
      </c>
      <c r="H206" s="10" t="s">
        <v>113</v>
      </c>
      <c r="I206" s="10" t="s">
        <v>58</v>
      </c>
      <c r="J206" s="10" t="s">
        <v>151</v>
      </c>
      <c r="K206" s="10">
        <v>3</v>
      </c>
      <c r="L206" s="12">
        <v>55</v>
      </c>
      <c r="M206" s="12">
        <v>22</v>
      </c>
      <c r="N206" s="13">
        <v>0</v>
      </c>
    </row>
    <row r="207" spans="1:14">
      <c r="A207" s="10" t="s">
        <v>478</v>
      </c>
      <c r="B207" s="11">
        <v>46063</v>
      </c>
      <c r="C207" s="10" t="s">
        <v>44</v>
      </c>
      <c r="D207" s="10" t="s">
        <v>45</v>
      </c>
      <c r="E207" s="10"/>
      <c r="F207" s="10" t="s">
        <v>175</v>
      </c>
      <c r="G207" s="10" t="s">
        <v>100</v>
      </c>
      <c r="H207" s="10" t="s">
        <v>101</v>
      </c>
      <c r="I207" s="10" t="s">
        <v>58</v>
      </c>
      <c r="J207" s="10" t="s">
        <v>151</v>
      </c>
      <c r="K207" s="10">
        <v>4</v>
      </c>
      <c r="L207" s="12">
        <v>20</v>
      </c>
      <c r="M207" s="12">
        <v>7</v>
      </c>
      <c r="N207" s="13">
        <v>0.05</v>
      </c>
    </row>
    <row r="208" spans="1:14">
      <c r="A208" s="10" t="s">
        <v>246</v>
      </c>
      <c r="B208" s="11">
        <v>46058</v>
      </c>
      <c r="C208" s="10" t="s">
        <v>39</v>
      </c>
      <c r="D208" s="10" t="s">
        <v>40</v>
      </c>
      <c r="E208" s="10" t="s">
        <v>36</v>
      </c>
      <c r="F208" s="10" t="s">
        <v>175</v>
      </c>
      <c r="G208" s="10" t="s">
        <v>96</v>
      </c>
      <c r="H208" s="10" t="s">
        <v>97</v>
      </c>
      <c r="I208" s="10" t="s">
        <v>58</v>
      </c>
      <c r="J208" s="10" t="s">
        <v>151</v>
      </c>
      <c r="K208" s="10">
        <v>4</v>
      </c>
      <c r="L208" s="12">
        <v>273</v>
      </c>
      <c r="M208" s="12">
        <v>155</v>
      </c>
      <c r="N208" s="13">
        <v>0.05</v>
      </c>
    </row>
    <row r="209" spans="1:14">
      <c r="A209" s="10" t="s">
        <v>311</v>
      </c>
      <c r="B209" s="11">
        <v>46190</v>
      </c>
      <c r="C209" s="10" t="s">
        <v>46</v>
      </c>
      <c r="D209" s="10" t="s">
        <v>47</v>
      </c>
      <c r="E209" s="10" t="s">
        <v>43</v>
      </c>
      <c r="F209" s="10" t="s">
        <v>175</v>
      </c>
      <c r="G209" s="10" t="s">
        <v>128</v>
      </c>
      <c r="H209" s="10" t="s">
        <v>129</v>
      </c>
      <c r="I209" s="10" t="s">
        <v>63</v>
      </c>
      <c r="J209" s="10" t="s">
        <v>150</v>
      </c>
      <c r="K209" s="10">
        <v>9</v>
      </c>
      <c r="L209" s="12">
        <v>55</v>
      </c>
      <c r="M209" s="12">
        <v>22</v>
      </c>
      <c r="N209" s="13">
        <v>0</v>
      </c>
    </row>
    <row r="210" spans="1:14">
      <c r="A210" s="10" t="s">
        <v>387</v>
      </c>
      <c r="B210" s="11">
        <v>46153</v>
      </c>
      <c r="C210" s="10" t="s">
        <v>51</v>
      </c>
      <c r="D210" s="10" t="s">
        <v>52</v>
      </c>
      <c r="E210" s="10" t="s">
        <v>50</v>
      </c>
      <c r="F210" s="10" t="s">
        <v>173</v>
      </c>
      <c r="G210" s="10" t="s">
        <v>130</v>
      </c>
      <c r="H210" s="10" t="s">
        <v>131</v>
      </c>
      <c r="I210" s="10" t="s">
        <v>58</v>
      </c>
      <c r="J210" s="10" t="s">
        <v>150</v>
      </c>
      <c r="K210" s="10">
        <v>2</v>
      </c>
      <c r="L210" s="12">
        <v>130</v>
      </c>
      <c r="M210" s="12">
        <v>65</v>
      </c>
      <c r="N210" s="13">
        <v>0.1</v>
      </c>
    </row>
    <row r="211" spans="1:14">
      <c r="A211" s="10" t="s">
        <v>377</v>
      </c>
      <c r="B211" s="11">
        <v>46161</v>
      </c>
      <c r="C211" s="10" t="s">
        <v>51</v>
      </c>
      <c r="D211" s="10" t="s">
        <v>52</v>
      </c>
      <c r="E211" s="10" t="s">
        <v>50</v>
      </c>
      <c r="F211" s="10" t="s">
        <v>175</v>
      </c>
      <c r="G211" s="10" t="s">
        <v>84</v>
      </c>
      <c r="H211" s="10" t="s">
        <v>85</v>
      </c>
      <c r="I211" s="10" t="s">
        <v>58</v>
      </c>
      <c r="J211" s="10" t="s">
        <v>150</v>
      </c>
      <c r="K211" s="10">
        <v>2</v>
      </c>
      <c r="L211" s="12">
        <v>130</v>
      </c>
      <c r="M211" s="12">
        <v>65</v>
      </c>
      <c r="N211" s="13">
        <v>0</v>
      </c>
    </row>
    <row r="212" spans="1:14">
      <c r="A212" s="10" t="s">
        <v>413</v>
      </c>
      <c r="B212" s="11">
        <v>46053</v>
      </c>
      <c r="C212" s="10" t="s">
        <v>48</v>
      </c>
      <c r="D212" s="10" t="s">
        <v>49</v>
      </c>
      <c r="E212" s="10" t="s">
        <v>50</v>
      </c>
      <c r="F212" s="10" t="s">
        <v>178</v>
      </c>
      <c r="G212" s="10" t="s">
        <v>88</v>
      </c>
      <c r="H212" s="10" t="s">
        <v>89</v>
      </c>
      <c r="I212" s="10" t="s">
        <v>58</v>
      </c>
      <c r="J212" s="10" t="s">
        <v>152</v>
      </c>
      <c r="K212" s="10">
        <v>1</v>
      </c>
      <c r="L212" s="12">
        <v>170</v>
      </c>
      <c r="M212" s="12">
        <v>95</v>
      </c>
      <c r="N212" s="13">
        <v>0</v>
      </c>
    </row>
    <row r="213" spans="1:14">
      <c r="A213" s="10" t="s">
        <v>384</v>
      </c>
      <c r="B213" s="11">
        <v>46183</v>
      </c>
      <c r="C213" s="10" t="s">
        <v>44</v>
      </c>
      <c r="D213" s="10" t="s">
        <v>45</v>
      </c>
      <c r="E213" s="10" t="s">
        <v>43</v>
      </c>
      <c r="F213" s="10" t="s">
        <v>171</v>
      </c>
      <c r="G213" s="10" t="s">
        <v>134</v>
      </c>
      <c r="H213" s="10" t="s">
        <v>135</v>
      </c>
      <c r="I213" s="10" t="s">
        <v>63</v>
      </c>
      <c r="J213" s="10" t="s">
        <v>152</v>
      </c>
      <c r="K213" s="10">
        <v>12</v>
      </c>
      <c r="L213" s="12">
        <v>21</v>
      </c>
      <c r="M213" s="12">
        <v>7</v>
      </c>
      <c r="N213" s="13">
        <v>0.05</v>
      </c>
    </row>
    <row r="214" spans="1:14">
      <c r="A214" s="10" t="s">
        <v>480</v>
      </c>
      <c r="B214" s="11">
        <v>46027</v>
      </c>
      <c r="C214" s="10" t="s">
        <v>44</v>
      </c>
      <c r="D214" s="10" t="s">
        <v>45</v>
      </c>
      <c r="E214" s="10" t="s">
        <v>43</v>
      </c>
      <c r="F214" s="10" t="s">
        <v>178</v>
      </c>
      <c r="G214" s="10" t="s">
        <v>78</v>
      </c>
      <c r="H214" s="10" t="s">
        <v>79</v>
      </c>
      <c r="I214" s="10" t="s">
        <v>58</v>
      </c>
      <c r="J214" s="10" t="s">
        <v>150</v>
      </c>
      <c r="K214" s="10">
        <v>4</v>
      </c>
      <c r="L214" s="12">
        <v>21</v>
      </c>
      <c r="M214" s="12">
        <v>7</v>
      </c>
      <c r="N214" s="13">
        <v>0.1</v>
      </c>
    </row>
    <row r="215" spans="1:14">
      <c r="A215" s="10" t="s">
        <v>235</v>
      </c>
      <c r="B215" s="11">
        <v>46177</v>
      </c>
      <c r="C215" s="10" t="s">
        <v>34</v>
      </c>
      <c r="D215" s="10" t="s">
        <v>541</v>
      </c>
      <c r="E215" s="10" t="s">
        <v>36</v>
      </c>
      <c r="F215" s="10" t="s">
        <v>178</v>
      </c>
      <c r="G215" s="10" t="s">
        <v>61</v>
      </c>
      <c r="H215" s="10" t="s">
        <v>62</v>
      </c>
      <c r="I215" s="10" t="s">
        <v>63</v>
      </c>
      <c r="J215" s="10" t="s">
        <v>151</v>
      </c>
      <c r="K215" s="10">
        <v>2</v>
      </c>
      <c r="L215" s="12">
        <v>682.5</v>
      </c>
      <c r="M215" s="12">
        <v>430</v>
      </c>
      <c r="N215" s="13">
        <v>0.1</v>
      </c>
    </row>
    <row r="216" spans="1:14">
      <c r="A216" s="10" t="s">
        <v>440</v>
      </c>
      <c r="B216" s="11">
        <v>46154</v>
      </c>
      <c r="C216" s="10" t="s">
        <v>51</v>
      </c>
      <c r="D216" s="10" t="s">
        <v>52</v>
      </c>
      <c r="E216" s="10" t="s">
        <v>50</v>
      </c>
      <c r="F216" s="10" t="s">
        <v>171</v>
      </c>
      <c r="G216" s="10" t="s">
        <v>56</v>
      </c>
      <c r="H216" s="10" t="s">
        <v>57</v>
      </c>
      <c r="I216" s="10" t="s">
        <v>58</v>
      </c>
      <c r="J216" s="10" t="s">
        <v>152</v>
      </c>
      <c r="K216" s="10">
        <v>1</v>
      </c>
      <c r="L216" s="12">
        <v>130</v>
      </c>
      <c r="M216" s="12">
        <v>65</v>
      </c>
      <c r="N216" s="13">
        <v>0</v>
      </c>
    </row>
    <row r="217" spans="1:14">
      <c r="A217" s="10" t="s">
        <v>433</v>
      </c>
      <c r="B217" s="11">
        <v>46178</v>
      </c>
      <c r="C217" s="10" t="s">
        <v>41</v>
      </c>
      <c r="D217" s="10" t="s">
        <v>42</v>
      </c>
      <c r="E217" s="10" t="s">
        <v>43</v>
      </c>
      <c r="F217" s="10" t="s">
        <v>171</v>
      </c>
      <c r="G217" s="10" t="s">
        <v>56</v>
      </c>
      <c r="H217" s="10" t="s">
        <v>57</v>
      </c>
      <c r="I217" s="10" t="s">
        <v>58</v>
      </c>
      <c r="J217" s="10" t="s">
        <v>150</v>
      </c>
      <c r="K217" s="10">
        <v>4</v>
      </c>
      <c r="L217" s="12">
        <v>36.75</v>
      </c>
      <c r="M217" s="12">
        <v>14</v>
      </c>
      <c r="N217" s="13">
        <v>0</v>
      </c>
    </row>
    <row r="218" spans="1:14">
      <c r="A218" s="10" t="s">
        <v>187</v>
      </c>
      <c r="B218" s="11">
        <v>46024</v>
      </c>
      <c r="C218" s="10" t="s">
        <v>34</v>
      </c>
      <c r="D218" s="10" t="s">
        <v>35</v>
      </c>
      <c r="E218" s="10" t="s">
        <v>36</v>
      </c>
      <c r="F218" s="10" t="s">
        <v>178</v>
      </c>
      <c r="G218" s="10" t="s">
        <v>66</v>
      </c>
      <c r="H218" s="10" t="s">
        <v>67</v>
      </c>
      <c r="I218" s="10" t="s">
        <v>58</v>
      </c>
      <c r="J218" s="10" t="s">
        <v>150</v>
      </c>
      <c r="K218" s="10">
        <v>4</v>
      </c>
      <c r="L218" s="12">
        <v>682.5</v>
      </c>
      <c r="M218" s="12">
        <v>430</v>
      </c>
      <c r="N218" s="13">
        <v>0.1</v>
      </c>
    </row>
    <row r="219" spans="1:14">
      <c r="A219" s="10" t="s">
        <v>385</v>
      </c>
      <c r="B219" s="11">
        <v>46027</v>
      </c>
      <c r="C219" s="10" t="s">
        <v>41</v>
      </c>
      <c r="D219" s="10" t="s">
        <v>42</v>
      </c>
      <c r="E219" s="10" t="s">
        <v>43</v>
      </c>
      <c r="F219" s="10" t="s">
        <v>171</v>
      </c>
      <c r="G219" s="10" t="s">
        <v>86</v>
      </c>
      <c r="H219" s="10" t="s">
        <v>87</v>
      </c>
      <c r="I219" s="10" t="s">
        <v>63</v>
      </c>
      <c r="J219" s="10" t="s">
        <v>153</v>
      </c>
      <c r="K219" s="10">
        <v>8</v>
      </c>
      <c r="L219" s="12">
        <v>35</v>
      </c>
      <c r="M219" s="12">
        <v>14</v>
      </c>
      <c r="N219" s="13">
        <v>0.15</v>
      </c>
    </row>
    <row r="220" spans="1:14">
      <c r="A220" s="10" t="s">
        <v>389</v>
      </c>
      <c r="B220" s="11">
        <v>46034</v>
      </c>
      <c r="C220" s="10" t="s">
        <v>41</v>
      </c>
      <c r="D220" s="10" t="s">
        <v>42</v>
      </c>
      <c r="E220" s="10" t="s">
        <v>43</v>
      </c>
      <c r="F220" s="10" t="s">
        <v>171</v>
      </c>
      <c r="G220" s="10" t="s">
        <v>128</v>
      </c>
      <c r="H220" s="10" t="s">
        <v>129</v>
      </c>
      <c r="I220" s="10" t="s">
        <v>63</v>
      </c>
      <c r="J220" s="10" t="s">
        <v>150</v>
      </c>
      <c r="K220" s="10">
        <v>7</v>
      </c>
      <c r="L220" s="12">
        <v>33.25</v>
      </c>
      <c r="M220" s="12">
        <v>14</v>
      </c>
      <c r="N220" s="13">
        <v>0</v>
      </c>
    </row>
    <row r="221" spans="1:14">
      <c r="A221" s="10" t="s">
        <v>185</v>
      </c>
      <c r="B221" s="11">
        <v>46197</v>
      </c>
      <c r="C221" s="10" t="s">
        <v>34</v>
      </c>
      <c r="D221" s="10" t="s">
        <v>35</v>
      </c>
      <c r="E221" s="10" t="s">
        <v>36</v>
      </c>
      <c r="F221" s="10" t="s">
        <v>173</v>
      </c>
      <c r="G221" s="10" t="s">
        <v>130</v>
      </c>
      <c r="H221" s="10" t="s">
        <v>131</v>
      </c>
      <c r="I221" s="10" t="s">
        <v>58</v>
      </c>
      <c r="J221" s="10" t="s">
        <v>151</v>
      </c>
      <c r="K221" s="10">
        <v>4</v>
      </c>
      <c r="L221" s="12">
        <v>650</v>
      </c>
      <c r="M221" s="12">
        <v>430</v>
      </c>
      <c r="N221" s="13">
        <v>0.05</v>
      </c>
    </row>
    <row r="222" spans="1:14">
      <c r="A222" s="10" t="s">
        <v>334</v>
      </c>
      <c r="B222" s="11">
        <v>46119</v>
      </c>
      <c r="C222" s="10" t="s">
        <v>46</v>
      </c>
      <c r="D222" s="10" t="s">
        <v>47</v>
      </c>
      <c r="E222" s="10" t="s">
        <v>43</v>
      </c>
      <c r="F222" s="10" t="s">
        <v>175</v>
      </c>
      <c r="G222" s="10" t="s">
        <v>110</v>
      </c>
      <c r="H222" s="10" t="s">
        <v>111</v>
      </c>
      <c r="I222" s="10" t="s">
        <v>63</v>
      </c>
      <c r="J222" s="10" t="s">
        <v>152</v>
      </c>
      <c r="K222" s="10">
        <v>8</v>
      </c>
      <c r="L222" s="12">
        <v>55</v>
      </c>
      <c r="M222" s="12">
        <v>22</v>
      </c>
      <c r="N222" s="13">
        <v>0</v>
      </c>
    </row>
    <row r="223" spans="1:14">
      <c r="A223" s="10" t="s">
        <v>323</v>
      </c>
      <c r="B223" s="11">
        <v>46140</v>
      </c>
      <c r="C223" s="10" t="s">
        <v>39</v>
      </c>
      <c r="D223" s="10" t="s">
        <v>40</v>
      </c>
      <c r="E223" s="10" t="s">
        <v>36</v>
      </c>
      <c r="F223" s="10" t="s">
        <v>173</v>
      </c>
      <c r="G223" s="10" t="s">
        <v>84</v>
      </c>
      <c r="H223" s="10" t="s">
        <v>85</v>
      </c>
      <c r="I223" s="10" t="s">
        <v>58</v>
      </c>
      <c r="J223" s="10" t="s">
        <v>152</v>
      </c>
      <c r="K223" s="10">
        <v>2</v>
      </c>
      <c r="L223" s="12">
        <v>260</v>
      </c>
      <c r="M223" s="12">
        <v>155</v>
      </c>
      <c r="N223" s="13">
        <v>0.1</v>
      </c>
    </row>
    <row r="224" spans="1:14">
      <c r="A224" s="10" t="s">
        <v>261</v>
      </c>
      <c r="B224" s="11">
        <v>46066</v>
      </c>
      <c r="C224" s="10" t="s">
        <v>37</v>
      </c>
      <c r="D224" s="10" t="s">
        <v>38</v>
      </c>
      <c r="E224" s="10" t="s">
        <v>36</v>
      </c>
      <c r="F224" s="10" t="s">
        <v>171</v>
      </c>
      <c r="G224" s="10" t="s">
        <v>80</v>
      </c>
      <c r="H224" s="10" t="s">
        <v>81</v>
      </c>
      <c r="I224" s="10" t="s">
        <v>63</v>
      </c>
      <c r="J224" s="10" t="s">
        <v>152</v>
      </c>
      <c r="K224" s="10">
        <v>5</v>
      </c>
      <c r="L224" s="12">
        <v>180</v>
      </c>
      <c r="M224" s="12">
        <v>95</v>
      </c>
      <c r="N224" s="13">
        <v>0.1</v>
      </c>
    </row>
    <row r="225" spans="1:14">
      <c r="A225" s="10" t="s">
        <v>264</v>
      </c>
      <c r="B225" s="11">
        <v>46080</v>
      </c>
      <c r="C225" s="10" t="s">
        <v>39</v>
      </c>
      <c r="D225" s="10" t="s">
        <v>40</v>
      </c>
      <c r="E225" s="10" t="s">
        <v>36</v>
      </c>
      <c r="F225" s="10" t="s">
        <v>178</v>
      </c>
      <c r="G225" s="10" t="s">
        <v>106</v>
      </c>
      <c r="H225" s="10" t="s">
        <v>107</v>
      </c>
      <c r="I225" s="10" t="s">
        <v>58</v>
      </c>
      <c r="J225" s="10" t="s">
        <v>150</v>
      </c>
      <c r="K225" s="10">
        <v>3</v>
      </c>
      <c r="L225" s="12">
        <v>260</v>
      </c>
      <c r="M225" s="12">
        <v>155</v>
      </c>
      <c r="N225" s="13">
        <v>0</v>
      </c>
    </row>
    <row r="226" spans="1:14">
      <c r="A226" s="10" t="s">
        <v>373</v>
      </c>
      <c r="B226" s="11">
        <v>46063</v>
      </c>
      <c r="C226" s="10" t="s">
        <v>51</v>
      </c>
      <c r="D226" s="10" t="s">
        <v>52</v>
      </c>
      <c r="E226" s="10" t="s">
        <v>50</v>
      </c>
      <c r="F226" s="10" t="s">
        <v>173</v>
      </c>
      <c r="G226" s="10" t="s">
        <v>76</v>
      </c>
      <c r="H226" s="10" t="s">
        <v>77</v>
      </c>
      <c r="I226" s="10" t="s">
        <v>58</v>
      </c>
      <c r="J226" s="10" t="s">
        <v>150</v>
      </c>
      <c r="K226" s="10">
        <v>2</v>
      </c>
      <c r="L226" s="12">
        <v>136.5</v>
      </c>
      <c r="M226" s="12">
        <v>65</v>
      </c>
      <c r="N226" s="13">
        <v>0</v>
      </c>
    </row>
    <row r="227" spans="1:14">
      <c r="A227" s="10" t="s">
        <v>528</v>
      </c>
      <c r="B227" s="11">
        <v>46125</v>
      </c>
      <c r="C227" s="10" t="s">
        <v>44</v>
      </c>
      <c r="D227" s="10" t="s">
        <v>45</v>
      </c>
      <c r="E227" s="10" t="s">
        <v>43</v>
      </c>
      <c r="F227" s="10" t="s">
        <v>173</v>
      </c>
      <c r="G227" s="10" t="s">
        <v>124</v>
      </c>
      <c r="H227" s="10" t="s">
        <v>125</v>
      </c>
      <c r="I227" s="10" t="s">
        <v>58</v>
      </c>
      <c r="J227" s="10" t="s">
        <v>152</v>
      </c>
      <c r="K227" s="10">
        <v>1</v>
      </c>
      <c r="L227" s="12">
        <v>20</v>
      </c>
      <c r="M227" s="12">
        <v>7</v>
      </c>
      <c r="N227" s="13">
        <v>0.1</v>
      </c>
    </row>
    <row r="228" spans="1:14">
      <c r="A228" s="10" t="s">
        <v>308</v>
      </c>
      <c r="B228" s="11">
        <v>46174</v>
      </c>
      <c r="C228" s="10" t="s">
        <v>39</v>
      </c>
      <c r="D228" s="10" t="s">
        <v>40</v>
      </c>
      <c r="E228" s="10" t="s">
        <v>36</v>
      </c>
      <c r="F228" s="10" t="s">
        <v>171</v>
      </c>
      <c r="G228" s="10" t="s">
        <v>114</v>
      </c>
      <c r="H228" s="10" t="s">
        <v>115</v>
      </c>
      <c r="I228" s="10" t="s">
        <v>58</v>
      </c>
      <c r="J228" s="10" t="s">
        <v>151</v>
      </c>
      <c r="K228" s="10">
        <v>2</v>
      </c>
      <c r="L228" s="12">
        <v>260</v>
      </c>
      <c r="M228" s="12">
        <v>155</v>
      </c>
      <c r="N228" s="13">
        <v>0</v>
      </c>
    </row>
    <row r="229" spans="1:14">
      <c r="A229" s="10" t="s">
        <v>470</v>
      </c>
      <c r="B229" s="11">
        <v>46034</v>
      </c>
      <c r="C229" s="10" t="s">
        <v>46</v>
      </c>
      <c r="D229" s="10" t="s">
        <v>47</v>
      </c>
      <c r="E229" s="10" t="s">
        <v>43</v>
      </c>
      <c r="F229" s="10" t="s">
        <v>544</v>
      </c>
      <c r="G229" s="10" t="s">
        <v>76</v>
      </c>
      <c r="H229" s="10"/>
      <c r="I229" s="10" t="s">
        <v>58</v>
      </c>
      <c r="J229" s="10" t="s">
        <v>152</v>
      </c>
      <c r="K229" s="10">
        <v>2</v>
      </c>
      <c r="L229" s="12">
        <v>55</v>
      </c>
      <c r="M229" s="12">
        <v>22</v>
      </c>
      <c r="N229" s="13">
        <v>0.15</v>
      </c>
    </row>
    <row r="230" spans="1:14">
      <c r="A230" s="10" t="s">
        <v>435</v>
      </c>
      <c r="B230" s="11">
        <v>46029</v>
      </c>
      <c r="C230" s="10" t="s">
        <v>44</v>
      </c>
      <c r="D230" s="10" t="s">
        <v>45</v>
      </c>
      <c r="E230" s="10" t="s">
        <v>43</v>
      </c>
      <c r="F230" s="10" t="s">
        <v>171</v>
      </c>
      <c r="G230" s="10" t="s">
        <v>134</v>
      </c>
      <c r="H230" s="10" t="s">
        <v>135</v>
      </c>
      <c r="I230" s="10" t="s">
        <v>63</v>
      </c>
      <c r="J230" s="10" t="s">
        <v>153</v>
      </c>
      <c r="K230" s="10">
        <v>8</v>
      </c>
      <c r="L230" s="12">
        <v>19</v>
      </c>
      <c r="M230" s="12">
        <v>7</v>
      </c>
      <c r="N230" s="13">
        <v>0.05</v>
      </c>
    </row>
    <row r="231" spans="1:14">
      <c r="A231" s="10" t="s">
        <v>501</v>
      </c>
      <c r="B231" s="11">
        <v>46184</v>
      </c>
      <c r="C231" s="10" t="s">
        <v>46</v>
      </c>
      <c r="D231" s="10" t="s">
        <v>47</v>
      </c>
      <c r="E231" s="10" t="s">
        <v>43</v>
      </c>
      <c r="F231" s="10" t="s">
        <v>173</v>
      </c>
      <c r="G231" s="10" t="s">
        <v>90</v>
      </c>
      <c r="H231" s="10" t="s">
        <v>91</v>
      </c>
      <c r="I231" s="10" t="s">
        <v>58</v>
      </c>
      <c r="J231" s="10" t="s">
        <v>152</v>
      </c>
      <c r="K231" s="10">
        <v>1</v>
      </c>
      <c r="L231" s="12">
        <v>52.25</v>
      </c>
      <c r="M231" s="12">
        <v>22</v>
      </c>
      <c r="N231" s="13">
        <v>0.05</v>
      </c>
    </row>
    <row r="232" spans="1:14">
      <c r="A232" s="10" t="s">
        <v>174</v>
      </c>
      <c r="B232" s="11">
        <v>46194</v>
      </c>
      <c r="C232" s="10" t="s">
        <v>34</v>
      </c>
      <c r="D232" s="10" t="s">
        <v>35</v>
      </c>
      <c r="E232" s="10" t="s">
        <v>36</v>
      </c>
      <c r="F232" s="10" t="s">
        <v>175</v>
      </c>
      <c r="G232" s="10" t="s">
        <v>74</v>
      </c>
      <c r="H232" s="10" t="s">
        <v>75</v>
      </c>
      <c r="I232" s="10" t="s">
        <v>63</v>
      </c>
      <c r="J232" s="10" t="s">
        <v>150</v>
      </c>
      <c r="K232" s="10">
        <v>8</v>
      </c>
      <c r="L232" s="12">
        <v>650</v>
      </c>
      <c r="M232" s="12">
        <v>430</v>
      </c>
      <c r="N232" s="13">
        <v>0.05</v>
      </c>
    </row>
    <row r="233" spans="1:14">
      <c r="A233" s="10" t="s">
        <v>417</v>
      </c>
      <c r="B233" s="11">
        <v>46130</v>
      </c>
      <c r="C233" s="10" t="s">
        <v>46</v>
      </c>
      <c r="D233" s="10" t="s">
        <v>47</v>
      </c>
      <c r="E233" s="10" t="s">
        <v>43</v>
      </c>
      <c r="F233" s="10" t="s">
        <v>175</v>
      </c>
      <c r="G233" s="10" t="s">
        <v>56</v>
      </c>
      <c r="H233" s="10" t="s">
        <v>57</v>
      </c>
      <c r="I233" s="10" t="s">
        <v>58</v>
      </c>
      <c r="J233" s="10" t="s">
        <v>152</v>
      </c>
      <c r="K233" s="10">
        <v>3</v>
      </c>
      <c r="L233" s="12">
        <v>55</v>
      </c>
      <c r="M233" s="12">
        <v>22</v>
      </c>
      <c r="N233" s="13">
        <v>0</v>
      </c>
    </row>
    <row r="234" spans="1:14">
      <c r="A234" s="10" t="s">
        <v>208</v>
      </c>
      <c r="B234" s="11">
        <v>46040</v>
      </c>
      <c r="C234" s="10" t="s">
        <v>34</v>
      </c>
      <c r="D234" s="10" t="s">
        <v>35</v>
      </c>
      <c r="E234" s="10" t="s">
        <v>36</v>
      </c>
      <c r="F234" s="10" t="s">
        <v>175</v>
      </c>
      <c r="G234" s="10" t="s">
        <v>56</v>
      </c>
      <c r="H234" s="10" t="s">
        <v>57</v>
      </c>
      <c r="I234" s="10" t="s">
        <v>58</v>
      </c>
      <c r="J234" s="10" t="s">
        <v>153</v>
      </c>
      <c r="K234" s="10">
        <v>3</v>
      </c>
      <c r="L234" s="12">
        <v>617.5</v>
      </c>
      <c r="M234" s="12">
        <v>430</v>
      </c>
      <c r="N234" s="13">
        <v>0.1</v>
      </c>
    </row>
    <row r="235" spans="1:14">
      <c r="A235" s="10" t="s">
        <v>325</v>
      </c>
      <c r="B235" s="11">
        <v>46129</v>
      </c>
      <c r="C235" s="10" t="s">
        <v>46</v>
      </c>
      <c r="D235" s="10" t="s">
        <v>47</v>
      </c>
      <c r="E235" s="10" t="s">
        <v>43</v>
      </c>
      <c r="F235" s="10" t="s">
        <v>178</v>
      </c>
      <c r="G235" s="10" t="s">
        <v>74</v>
      </c>
      <c r="H235" s="10" t="s">
        <v>75</v>
      </c>
      <c r="I235" s="10" t="s">
        <v>63</v>
      </c>
      <c r="J235" s="10"/>
      <c r="K235" s="10">
        <v>9</v>
      </c>
      <c r="L235" s="12">
        <v>57.75</v>
      </c>
      <c r="M235" s="12">
        <v>22</v>
      </c>
      <c r="N235" s="13">
        <v>0.1</v>
      </c>
    </row>
    <row r="236" spans="1:14">
      <c r="A236" s="10" t="s">
        <v>277</v>
      </c>
      <c r="B236" s="11">
        <v>46163</v>
      </c>
      <c r="C236" s="10" t="s">
        <v>37</v>
      </c>
      <c r="D236" s="10" t="s">
        <v>38</v>
      </c>
      <c r="E236" s="10" t="s">
        <v>36</v>
      </c>
      <c r="F236" s="10" t="s">
        <v>178</v>
      </c>
      <c r="G236" s="10" t="s">
        <v>118</v>
      </c>
      <c r="H236" s="10" t="s">
        <v>119</v>
      </c>
      <c r="I236" s="10" t="s">
        <v>58</v>
      </c>
      <c r="J236" s="10" t="s">
        <v>151</v>
      </c>
      <c r="K236" s="10">
        <v>4</v>
      </c>
      <c r="L236" s="12">
        <v>189</v>
      </c>
      <c r="M236" s="12">
        <v>95</v>
      </c>
      <c r="N236" s="13">
        <v>0.1</v>
      </c>
    </row>
    <row r="237" spans="1:14">
      <c r="A237" s="10" t="s">
        <v>315</v>
      </c>
      <c r="B237" s="11">
        <v>46116</v>
      </c>
      <c r="C237" s="10" t="s">
        <v>51</v>
      </c>
      <c r="D237" s="10" t="s">
        <v>52</v>
      </c>
      <c r="E237" s="10" t="s">
        <v>50</v>
      </c>
      <c r="F237" s="10" t="s">
        <v>175</v>
      </c>
      <c r="G237" s="10" t="s">
        <v>84</v>
      </c>
      <c r="H237" s="10" t="s">
        <v>85</v>
      </c>
      <c r="I237" s="10" t="s">
        <v>58</v>
      </c>
      <c r="J237" s="10" t="s">
        <v>151</v>
      </c>
      <c r="K237" s="10">
        <v>4</v>
      </c>
      <c r="L237" s="12">
        <v>130</v>
      </c>
      <c r="M237" s="12">
        <v>65</v>
      </c>
      <c r="N237" s="13">
        <v>0.05</v>
      </c>
    </row>
    <row r="238" spans="1:14">
      <c r="A238" s="10" t="s">
        <v>426</v>
      </c>
      <c r="B238" s="11">
        <v>46161</v>
      </c>
      <c r="C238" s="10" t="s">
        <v>48</v>
      </c>
      <c r="D238" s="10" t="s">
        <v>49</v>
      </c>
      <c r="E238" s="10" t="s">
        <v>50</v>
      </c>
      <c r="F238" s="10" t="s">
        <v>175</v>
      </c>
      <c r="G238" s="10" t="s">
        <v>68</v>
      </c>
      <c r="H238" s="10" t="s">
        <v>69</v>
      </c>
      <c r="I238" s="10" t="s">
        <v>63</v>
      </c>
      <c r="J238" s="10" t="s">
        <v>150</v>
      </c>
      <c r="K238" s="10">
        <v>1</v>
      </c>
      <c r="L238" s="12">
        <v>161.5</v>
      </c>
      <c r="M238" s="12">
        <v>95</v>
      </c>
      <c r="N238" s="13">
        <v>0.05</v>
      </c>
    </row>
    <row r="239" spans="1:14">
      <c r="A239" s="10" t="s">
        <v>240</v>
      </c>
      <c r="B239" s="11">
        <v>46169</v>
      </c>
      <c r="C239" s="10" t="s">
        <v>39</v>
      </c>
      <c r="D239" s="10" t="s">
        <v>40</v>
      </c>
      <c r="E239" s="10" t="s">
        <v>36</v>
      </c>
      <c r="F239" s="10" t="s">
        <v>175</v>
      </c>
      <c r="G239" s="10" t="s">
        <v>92</v>
      </c>
      <c r="H239" s="10" t="s">
        <v>93</v>
      </c>
      <c r="I239" s="10" t="s">
        <v>63</v>
      </c>
      <c r="J239" s="10" t="s">
        <v>152</v>
      </c>
      <c r="K239" s="10">
        <v>5</v>
      </c>
      <c r="L239" s="12">
        <v>260</v>
      </c>
      <c r="M239" s="12">
        <v>155</v>
      </c>
      <c r="N239" s="13">
        <v>0.1</v>
      </c>
    </row>
    <row r="240" spans="1:14">
      <c r="A240" s="10" t="s">
        <v>505</v>
      </c>
      <c r="B240" s="11">
        <v>46094</v>
      </c>
      <c r="C240" s="10" t="s">
        <v>46</v>
      </c>
      <c r="D240" s="10" t="s">
        <v>47</v>
      </c>
      <c r="E240" s="10" t="s">
        <v>43</v>
      </c>
      <c r="F240" s="10" t="s">
        <v>171</v>
      </c>
      <c r="G240" s="10" t="s">
        <v>128</v>
      </c>
      <c r="H240" s="10" t="s">
        <v>129</v>
      </c>
      <c r="I240" s="10" t="s">
        <v>63</v>
      </c>
      <c r="J240" s="10" t="s">
        <v>151</v>
      </c>
      <c r="K240" s="10">
        <v>1</v>
      </c>
      <c r="L240" s="12">
        <v>52.25</v>
      </c>
      <c r="M240" s="12">
        <v>22</v>
      </c>
      <c r="N240" s="13">
        <v>0.1</v>
      </c>
    </row>
    <row r="241" spans="1:14">
      <c r="A241" s="10" t="s">
        <v>441</v>
      </c>
      <c r="B241" s="11">
        <v>46200</v>
      </c>
      <c r="C241" s="10" t="s">
        <v>51</v>
      </c>
      <c r="D241" s="10" t="s">
        <v>52</v>
      </c>
      <c r="E241" s="10" t="s">
        <v>50</v>
      </c>
      <c r="F241" s="10" t="s">
        <v>175</v>
      </c>
      <c r="G241" s="10" t="s">
        <v>56</v>
      </c>
      <c r="H241" s="10" t="s">
        <v>57</v>
      </c>
      <c r="I241" s="10" t="s">
        <v>58</v>
      </c>
      <c r="J241" s="10" t="s">
        <v>151</v>
      </c>
      <c r="K241" s="10">
        <v>1</v>
      </c>
      <c r="L241" s="12">
        <v>130</v>
      </c>
      <c r="M241" s="12">
        <v>65</v>
      </c>
      <c r="N241" s="13">
        <v>0</v>
      </c>
    </row>
    <row r="242" spans="1:14">
      <c r="A242" s="10" t="s">
        <v>498</v>
      </c>
      <c r="B242" s="11">
        <v>46076</v>
      </c>
      <c r="C242" s="10" t="s">
        <v>44</v>
      </c>
      <c r="D242" s="10" t="s">
        <v>45</v>
      </c>
      <c r="E242" s="10" t="s">
        <v>43</v>
      </c>
      <c r="F242" s="10" t="s">
        <v>178</v>
      </c>
      <c r="G242" s="10" t="s">
        <v>70</v>
      </c>
      <c r="H242" s="10" t="s">
        <v>71</v>
      </c>
      <c r="I242" s="10" t="s">
        <v>58</v>
      </c>
      <c r="J242" s="10" t="s">
        <v>153</v>
      </c>
      <c r="K242" s="10">
        <v>3</v>
      </c>
      <c r="L242" s="12">
        <v>19</v>
      </c>
      <c r="M242" s="12">
        <v>7</v>
      </c>
      <c r="N242" s="13">
        <v>0.05</v>
      </c>
    </row>
    <row r="243" spans="1:14">
      <c r="A243" s="10" t="s">
        <v>457</v>
      </c>
      <c r="B243" s="11">
        <v>46175</v>
      </c>
      <c r="C243" s="10" t="s">
        <v>46</v>
      </c>
      <c r="D243" s="10" t="s">
        <v>47</v>
      </c>
      <c r="E243" s="10" t="s">
        <v>43</v>
      </c>
      <c r="F243" s="10" t="s">
        <v>178</v>
      </c>
      <c r="G243" s="10" t="s">
        <v>94</v>
      </c>
      <c r="H243" s="10" t="s">
        <v>95</v>
      </c>
      <c r="I243" s="10" t="s">
        <v>58</v>
      </c>
      <c r="J243" s="10" t="s">
        <v>549</v>
      </c>
      <c r="K243" s="10">
        <v>2</v>
      </c>
      <c r="L243" s="12">
        <v>55</v>
      </c>
      <c r="M243" s="12">
        <v>22</v>
      </c>
      <c r="N243" s="13">
        <v>0.05</v>
      </c>
    </row>
    <row r="244" spans="1:14">
      <c r="A244" s="10" t="s">
        <v>348</v>
      </c>
      <c r="B244" s="11">
        <v>46088</v>
      </c>
      <c r="C244" s="10" t="s">
        <v>51</v>
      </c>
      <c r="D244" s="10" t="s">
        <v>52</v>
      </c>
      <c r="E244" s="10" t="s">
        <v>50</v>
      </c>
      <c r="F244" s="10" t="s">
        <v>178</v>
      </c>
      <c r="G244" s="10" t="s">
        <v>59</v>
      </c>
      <c r="H244" s="10" t="s">
        <v>60</v>
      </c>
      <c r="I244" s="10" t="s">
        <v>58</v>
      </c>
      <c r="J244" s="10" t="s">
        <v>151</v>
      </c>
      <c r="K244" s="10">
        <v>3</v>
      </c>
      <c r="L244" s="12">
        <v>130</v>
      </c>
      <c r="M244" s="12">
        <v>65</v>
      </c>
      <c r="N244" s="13">
        <v>0.1</v>
      </c>
    </row>
    <row r="245" spans="1:14">
      <c r="A245" s="10" t="s">
        <v>378</v>
      </c>
      <c r="B245" s="11">
        <v>46028</v>
      </c>
      <c r="C245" s="10" t="s">
        <v>51</v>
      </c>
      <c r="D245" s="10" t="s">
        <v>52</v>
      </c>
      <c r="E245" s="10" t="s">
        <v>50</v>
      </c>
      <c r="F245" s="10" t="s">
        <v>173</v>
      </c>
      <c r="G245" s="10" t="s">
        <v>102</v>
      </c>
      <c r="H245" s="10" t="s">
        <v>103</v>
      </c>
      <c r="I245" s="10" t="s">
        <v>58</v>
      </c>
      <c r="J245" s="10" t="s">
        <v>150</v>
      </c>
      <c r="K245" s="10">
        <v>2</v>
      </c>
      <c r="L245" s="12">
        <v>130</v>
      </c>
      <c r="M245" s="12">
        <v>65</v>
      </c>
      <c r="N245" s="13">
        <v>0</v>
      </c>
    </row>
    <row r="246" spans="1:14">
      <c r="A246" s="10" t="s">
        <v>296</v>
      </c>
      <c r="B246" s="11">
        <v>46033</v>
      </c>
      <c r="C246" s="10" t="s">
        <v>46</v>
      </c>
      <c r="D246" s="10" t="s">
        <v>47</v>
      </c>
      <c r="E246" s="10" t="s">
        <v>43</v>
      </c>
      <c r="F246" s="10" t="s">
        <v>173</v>
      </c>
      <c r="G246" s="10" t="s">
        <v>68</v>
      </c>
      <c r="H246" s="10" t="s">
        <v>69</v>
      </c>
      <c r="I246" s="10" t="s">
        <v>63</v>
      </c>
      <c r="J246" s="10" t="s">
        <v>150</v>
      </c>
      <c r="K246" s="10">
        <v>10</v>
      </c>
      <c r="L246" s="12">
        <v>55</v>
      </c>
      <c r="M246" s="12">
        <v>22</v>
      </c>
      <c r="N246" s="13">
        <v>0</v>
      </c>
    </row>
    <row r="247" spans="1:14">
      <c r="A247" s="10" t="s">
        <v>479</v>
      </c>
      <c r="B247" s="11">
        <v>46169</v>
      </c>
      <c r="C247" s="10" t="s">
        <v>44</v>
      </c>
      <c r="D247" s="10" t="s">
        <v>45</v>
      </c>
      <c r="E247" s="10" t="s">
        <v>43</v>
      </c>
      <c r="F247" s="10" t="s">
        <v>171</v>
      </c>
      <c r="G247" s="10" t="s">
        <v>108</v>
      </c>
      <c r="H247" s="10" t="s">
        <v>109</v>
      </c>
      <c r="I247" s="10" t="s">
        <v>58</v>
      </c>
      <c r="J247" s="10" t="s">
        <v>150</v>
      </c>
      <c r="K247" s="10">
        <v>4</v>
      </c>
      <c r="L247" s="12">
        <v>20</v>
      </c>
      <c r="M247" s="12">
        <v>7</v>
      </c>
      <c r="N247" s="13">
        <v>0.05</v>
      </c>
    </row>
    <row r="248" spans="1:14">
      <c r="A248" s="10" t="s">
        <v>522</v>
      </c>
      <c r="B248" s="11">
        <v>46202</v>
      </c>
      <c r="C248" s="10" t="s">
        <v>44</v>
      </c>
      <c r="D248" s="10" t="s">
        <v>45</v>
      </c>
      <c r="E248" s="10" t="s">
        <v>43</v>
      </c>
      <c r="F248" s="10" t="s">
        <v>173</v>
      </c>
      <c r="G248" s="10" t="s">
        <v>74</v>
      </c>
      <c r="H248" s="10" t="s">
        <v>75</v>
      </c>
      <c r="I248" s="10" t="s">
        <v>63</v>
      </c>
      <c r="J248" s="10" t="s">
        <v>150</v>
      </c>
      <c r="K248" s="10">
        <v>1</v>
      </c>
      <c r="L248" s="12">
        <v>20</v>
      </c>
      <c r="M248" s="12">
        <v>7</v>
      </c>
      <c r="N248" s="13">
        <v>0</v>
      </c>
    </row>
    <row r="249" spans="1:14">
      <c r="A249" s="10" t="s">
        <v>196</v>
      </c>
      <c r="B249" s="11">
        <v>46086</v>
      </c>
      <c r="C249" s="10" t="s">
        <v>34</v>
      </c>
      <c r="D249" s="10" t="s">
        <v>35</v>
      </c>
      <c r="E249" s="10" t="s">
        <v>36</v>
      </c>
      <c r="F249" s="10" t="s">
        <v>175</v>
      </c>
      <c r="G249" s="10" t="s">
        <v>124</v>
      </c>
      <c r="H249" s="10" t="s">
        <v>125</v>
      </c>
      <c r="I249" s="10" t="s">
        <v>58</v>
      </c>
      <c r="J249" s="10" t="s">
        <v>151</v>
      </c>
      <c r="K249" s="10">
        <v>3</v>
      </c>
      <c r="L249" s="12">
        <v>650</v>
      </c>
      <c r="M249" s="12">
        <v>430</v>
      </c>
      <c r="N249" s="13">
        <v>0</v>
      </c>
    </row>
    <row r="250" spans="1:14">
      <c r="A250" s="10" t="s">
        <v>475</v>
      </c>
      <c r="B250" s="11">
        <v>46058</v>
      </c>
      <c r="C250" s="10" t="s">
        <v>44</v>
      </c>
      <c r="D250" s="10" t="s">
        <v>45</v>
      </c>
      <c r="E250" s="10" t="s">
        <v>43</v>
      </c>
      <c r="F250" s="10" t="s">
        <v>175</v>
      </c>
      <c r="G250" s="10" t="s">
        <v>106</v>
      </c>
      <c r="H250" s="10" t="s">
        <v>107</v>
      </c>
      <c r="I250" s="10" t="s">
        <v>58</v>
      </c>
      <c r="J250" s="10" t="s">
        <v>150</v>
      </c>
      <c r="K250" s="10">
        <v>4</v>
      </c>
      <c r="L250" s="12">
        <v>20</v>
      </c>
      <c r="M250" s="12">
        <v>7</v>
      </c>
      <c r="N250" s="13">
        <v>0</v>
      </c>
    </row>
    <row r="251" spans="1:14">
      <c r="A251" s="10" t="s">
        <v>391</v>
      </c>
      <c r="B251" s="11">
        <v>46074</v>
      </c>
      <c r="C251" s="10" t="s">
        <v>41</v>
      </c>
      <c r="D251" s="10" t="s">
        <v>42</v>
      </c>
      <c r="E251" s="10" t="s">
        <v>43</v>
      </c>
      <c r="F251" s="10" t="s">
        <v>175</v>
      </c>
      <c r="G251" s="10" t="s">
        <v>80</v>
      </c>
      <c r="H251" s="10" t="s">
        <v>81</v>
      </c>
      <c r="I251" s="10" t="s">
        <v>63</v>
      </c>
      <c r="J251" s="10" t="s">
        <v>153</v>
      </c>
      <c r="K251" s="10">
        <v>7</v>
      </c>
      <c r="L251" s="12">
        <v>36.75</v>
      </c>
      <c r="M251" s="12">
        <v>14</v>
      </c>
      <c r="N251" s="13">
        <v>0.1</v>
      </c>
    </row>
    <row r="252" spans="1:14">
      <c r="A252" s="10" t="s">
        <v>294</v>
      </c>
      <c r="B252" s="11">
        <v>46044</v>
      </c>
      <c r="C252" s="10" t="s">
        <v>46</v>
      </c>
      <c r="D252" s="10" t="s">
        <v>47</v>
      </c>
      <c r="E252" s="10" t="s">
        <v>43</v>
      </c>
      <c r="F252" s="10" t="s">
        <v>175</v>
      </c>
      <c r="G252" s="10" t="s">
        <v>80</v>
      </c>
      <c r="H252" s="10" t="s">
        <v>81</v>
      </c>
      <c r="I252" s="10" t="s">
        <v>63</v>
      </c>
      <c r="J252" s="10" t="s">
        <v>151</v>
      </c>
      <c r="K252" s="10">
        <v>11</v>
      </c>
      <c r="L252" s="12">
        <v>52.25</v>
      </c>
      <c r="M252" s="12">
        <v>22</v>
      </c>
      <c r="N252" s="13">
        <v>0</v>
      </c>
    </row>
    <row r="253" spans="1:14">
      <c r="A253" s="10" t="s">
        <v>390</v>
      </c>
      <c r="B253" s="11">
        <v>46140</v>
      </c>
      <c r="C253" s="10" t="s">
        <v>39</v>
      </c>
      <c r="D253" s="10" t="s">
        <v>40</v>
      </c>
      <c r="E253" s="10" t="s">
        <v>36</v>
      </c>
      <c r="F253" s="10" t="s">
        <v>178</v>
      </c>
      <c r="G253" s="10" t="s">
        <v>94</v>
      </c>
      <c r="H253" s="10" t="s">
        <v>95</v>
      </c>
      <c r="I253" s="10" t="s">
        <v>58</v>
      </c>
      <c r="J253" s="10" t="s">
        <v>151</v>
      </c>
      <c r="K253" s="10">
        <v>1</v>
      </c>
      <c r="L253" s="12">
        <v>273</v>
      </c>
      <c r="M253" s="12">
        <v>155</v>
      </c>
      <c r="N253" s="13">
        <v>0.15</v>
      </c>
    </row>
    <row r="254" spans="1:14">
      <c r="A254" s="10" t="s">
        <v>212</v>
      </c>
      <c r="B254" s="11">
        <v>46099</v>
      </c>
      <c r="C254" s="10" t="s">
        <v>37</v>
      </c>
      <c r="D254" s="10" t="s">
        <v>550</v>
      </c>
      <c r="E254" s="10" t="s">
        <v>36</v>
      </c>
      <c r="F254" s="10" t="s">
        <v>178</v>
      </c>
      <c r="G254" s="10" t="s">
        <v>134</v>
      </c>
      <c r="H254" s="10" t="s">
        <v>135</v>
      </c>
      <c r="I254" s="10" t="s">
        <v>63</v>
      </c>
      <c r="J254" s="10" t="s">
        <v>152</v>
      </c>
      <c r="K254" s="10">
        <v>9</v>
      </c>
      <c r="L254" s="12">
        <v>180</v>
      </c>
      <c r="M254" s="12">
        <v>95</v>
      </c>
      <c r="N254" s="13">
        <v>0.05</v>
      </c>
    </row>
    <row r="255" spans="1:14">
      <c r="A255" s="10" t="s">
        <v>215</v>
      </c>
      <c r="B255" s="11">
        <v>46074</v>
      </c>
      <c r="C255" s="10" t="s">
        <v>48</v>
      </c>
      <c r="D255" s="10" t="s">
        <v>49</v>
      </c>
      <c r="E255" s="10" t="s">
        <v>50</v>
      </c>
      <c r="F255" s="10" t="s">
        <v>178</v>
      </c>
      <c r="G255" s="10" t="s">
        <v>116</v>
      </c>
      <c r="H255" s="10" t="s">
        <v>117</v>
      </c>
      <c r="I255" s="10" t="s">
        <v>63</v>
      </c>
      <c r="J255" s="10" t="s">
        <v>150</v>
      </c>
      <c r="K255" s="10">
        <v>10</v>
      </c>
      <c r="L255" s="12">
        <v>170</v>
      </c>
      <c r="M255" s="12">
        <v>95</v>
      </c>
      <c r="N255" s="13">
        <v>0.1</v>
      </c>
    </row>
    <row r="256" spans="1:14">
      <c r="A256" s="10" t="s">
        <v>338</v>
      </c>
      <c r="B256" s="11">
        <v>46182</v>
      </c>
      <c r="C256" s="10" t="s">
        <v>41</v>
      </c>
      <c r="D256" s="10" t="s">
        <v>42</v>
      </c>
      <c r="E256" s="10" t="s">
        <v>43</v>
      </c>
      <c r="F256" s="10" t="s">
        <v>537</v>
      </c>
      <c r="G256" s="10" t="s">
        <v>86</v>
      </c>
      <c r="H256" s="10" t="s">
        <v>87</v>
      </c>
      <c r="I256" s="10" t="s">
        <v>63</v>
      </c>
      <c r="J256" s="10" t="s">
        <v>150</v>
      </c>
      <c r="K256" s="10">
        <v>12</v>
      </c>
      <c r="L256" s="12">
        <v>33.25</v>
      </c>
      <c r="M256" s="12"/>
      <c r="N256" s="13">
        <v>0</v>
      </c>
    </row>
    <row r="257" spans="1:14">
      <c r="A257" s="10" t="s">
        <v>407</v>
      </c>
      <c r="B257" s="11">
        <v>46104</v>
      </c>
      <c r="C257" s="10" t="s">
        <v>37</v>
      </c>
      <c r="D257" s="10" t="s">
        <v>38</v>
      </c>
      <c r="E257" s="10" t="s">
        <v>36</v>
      </c>
      <c r="F257" s="10" t="s">
        <v>178</v>
      </c>
      <c r="G257" s="10" t="s">
        <v>56</v>
      </c>
      <c r="H257" s="10" t="s">
        <v>57</v>
      </c>
      <c r="I257" s="10" t="s">
        <v>58</v>
      </c>
      <c r="J257" s="10" t="s">
        <v>152</v>
      </c>
      <c r="K257" s="10">
        <v>1</v>
      </c>
      <c r="L257" s="12">
        <v>180</v>
      </c>
      <c r="M257" s="12">
        <v>95</v>
      </c>
      <c r="N257" s="13">
        <v>0</v>
      </c>
    </row>
    <row r="258" spans="1:14">
      <c r="A258" s="10" t="s">
        <v>458</v>
      </c>
      <c r="B258" s="11">
        <v>46142</v>
      </c>
      <c r="C258" s="10" t="s">
        <v>44</v>
      </c>
      <c r="D258" s="10" t="s">
        <v>45</v>
      </c>
      <c r="E258" s="10" t="s">
        <v>43</v>
      </c>
      <c r="F258" s="10" t="s">
        <v>175</v>
      </c>
      <c r="G258" s="10" t="s">
        <v>98</v>
      </c>
      <c r="H258" s="10" t="s">
        <v>99</v>
      </c>
      <c r="I258" s="10" t="s">
        <v>63</v>
      </c>
      <c r="J258" s="10" t="s">
        <v>150</v>
      </c>
      <c r="K258" s="10">
        <v>6</v>
      </c>
      <c r="L258" s="12">
        <v>20</v>
      </c>
      <c r="M258" s="12">
        <v>7</v>
      </c>
      <c r="N258" s="13">
        <v>0.15</v>
      </c>
    </row>
    <row r="259" spans="1:14">
      <c r="A259" s="10" t="s">
        <v>260</v>
      </c>
      <c r="B259" s="11">
        <v>46061</v>
      </c>
      <c r="C259" s="10" t="s">
        <v>39</v>
      </c>
      <c r="D259" s="10" t="s">
        <v>40</v>
      </c>
      <c r="E259" s="10" t="s">
        <v>36</v>
      </c>
      <c r="F259" s="10" t="s">
        <v>171</v>
      </c>
      <c r="G259" s="10" t="s">
        <v>116</v>
      </c>
      <c r="H259" s="10" t="s">
        <v>117</v>
      </c>
      <c r="I259" s="10" t="s">
        <v>63</v>
      </c>
      <c r="J259" s="10" t="s">
        <v>151</v>
      </c>
      <c r="K259" s="10">
        <v>3</v>
      </c>
      <c r="L259" s="12">
        <v>273</v>
      </c>
      <c r="M259" s="12">
        <v>155</v>
      </c>
      <c r="N259" s="13">
        <v>0</v>
      </c>
    </row>
    <row r="260" spans="1:14">
      <c r="A260" s="10" t="s">
        <v>265</v>
      </c>
      <c r="B260" s="11">
        <v>46094</v>
      </c>
      <c r="C260" s="10" t="s">
        <v>39</v>
      </c>
      <c r="D260" s="10" t="s">
        <v>40</v>
      </c>
      <c r="E260" s="10" t="s">
        <v>36</v>
      </c>
      <c r="F260" s="10" t="s">
        <v>171</v>
      </c>
      <c r="G260" s="10" t="s">
        <v>132</v>
      </c>
      <c r="H260" s="10" t="s">
        <v>133</v>
      </c>
      <c r="I260" s="10" t="s">
        <v>58</v>
      </c>
      <c r="J260" s="10" t="s">
        <v>150</v>
      </c>
      <c r="K260" s="10">
        <v>3</v>
      </c>
      <c r="L260" s="12">
        <v>260</v>
      </c>
      <c r="M260" s="12">
        <v>155</v>
      </c>
      <c r="N260" s="13">
        <v>0</v>
      </c>
    </row>
    <row r="261" spans="1:14">
      <c r="A261" s="10" t="s">
        <v>495</v>
      </c>
      <c r="B261" s="11">
        <v>46087</v>
      </c>
      <c r="C261" s="10" t="s">
        <v>46</v>
      </c>
      <c r="D261" s="10" t="s">
        <v>47</v>
      </c>
      <c r="E261" s="10" t="s">
        <v>43</v>
      </c>
      <c r="F261" s="10" t="s">
        <v>175</v>
      </c>
      <c r="G261" s="10" t="s">
        <v>66</v>
      </c>
      <c r="H261" s="10" t="s">
        <v>67</v>
      </c>
      <c r="I261" s="10" t="s">
        <v>58</v>
      </c>
      <c r="J261" s="10" t="s">
        <v>151</v>
      </c>
      <c r="K261" s="10">
        <v>1</v>
      </c>
      <c r="L261" s="12">
        <v>55</v>
      </c>
      <c r="M261" s="12">
        <v>22</v>
      </c>
      <c r="N261" s="13">
        <v>0</v>
      </c>
    </row>
    <row r="262" spans="1:14">
      <c r="A262" s="10" t="s">
        <v>245</v>
      </c>
      <c r="B262" s="11">
        <v>46190</v>
      </c>
      <c r="C262" s="10" t="s">
        <v>39</v>
      </c>
      <c r="D262" s="10" t="s">
        <v>40</v>
      </c>
      <c r="E262" s="10" t="s">
        <v>36</v>
      </c>
      <c r="F262" s="10" t="s">
        <v>171</v>
      </c>
      <c r="G262" s="10" t="s">
        <v>120</v>
      </c>
      <c r="H262" s="10" t="s">
        <v>121</v>
      </c>
      <c r="I262" s="10" t="s">
        <v>58</v>
      </c>
      <c r="J262" s="10" t="s">
        <v>151</v>
      </c>
      <c r="K262" s="10">
        <v>4</v>
      </c>
      <c r="L262" s="12">
        <v>260</v>
      </c>
      <c r="M262" s="12">
        <v>155</v>
      </c>
      <c r="N262" s="13">
        <v>0</v>
      </c>
    </row>
    <row r="263" spans="1:14">
      <c r="A263" s="10" t="s">
        <v>262</v>
      </c>
      <c r="B263" s="11">
        <v>46076</v>
      </c>
      <c r="C263" s="10" t="s">
        <v>48</v>
      </c>
      <c r="D263" s="10" t="s">
        <v>49</v>
      </c>
      <c r="E263" s="10" t="s">
        <v>50</v>
      </c>
      <c r="F263" s="10" t="s">
        <v>173</v>
      </c>
      <c r="G263" s="10" t="s">
        <v>61</v>
      </c>
      <c r="H263" s="10" t="s">
        <v>62</v>
      </c>
      <c r="I263" s="10" t="s">
        <v>63</v>
      </c>
      <c r="J263" s="10" t="s">
        <v>150</v>
      </c>
      <c r="K263" s="10">
        <v>5</v>
      </c>
      <c r="L263" s="12">
        <v>170</v>
      </c>
      <c r="M263" s="12">
        <v>95</v>
      </c>
      <c r="N263" s="13">
        <v>0.05</v>
      </c>
    </row>
    <row r="264" spans="1:14">
      <c r="A264" s="10" t="s">
        <v>205</v>
      </c>
      <c r="B264" s="11">
        <v>46105</v>
      </c>
      <c r="C264" s="10" t="s">
        <v>34</v>
      </c>
      <c r="D264" s="10" t="s">
        <v>35</v>
      </c>
      <c r="E264" s="10"/>
      <c r="F264" s="10" t="s">
        <v>175</v>
      </c>
      <c r="G264" s="10" t="s">
        <v>114</v>
      </c>
      <c r="H264" s="10" t="s">
        <v>115</v>
      </c>
      <c r="I264" s="10" t="s">
        <v>58</v>
      </c>
      <c r="J264" s="10" t="s">
        <v>150</v>
      </c>
      <c r="K264" s="10">
        <v>3</v>
      </c>
      <c r="L264" s="12">
        <v>682.5</v>
      </c>
      <c r="M264" s="12">
        <v>430</v>
      </c>
      <c r="N264" s="13">
        <v>0.15</v>
      </c>
    </row>
    <row r="265" spans="1:14">
      <c r="A265" s="10" t="s">
        <v>489</v>
      </c>
      <c r="B265" s="11">
        <v>46142</v>
      </c>
      <c r="C265" s="10" t="s">
        <v>44</v>
      </c>
      <c r="D265" s="10" t="s">
        <v>45</v>
      </c>
      <c r="E265" s="10" t="s">
        <v>43</v>
      </c>
      <c r="F265" s="10" t="s">
        <v>173</v>
      </c>
      <c r="G265" s="10" t="s">
        <v>64</v>
      </c>
      <c r="H265" s="10" t="s">
        <v>65</v>
      </c>
      <c r="I265" s="10" t="s">
        <v>58</v>
      </c>
      <c r="J265" s="10" t="s">
        <v>152</v>
      </c>
      <c r="K265" s="10">
        <v>4</v>
      </c>
      <c r="L265" s="12">
        <v>20</v>
      </c>
      <c r="M265" s="12">
        <v>7</v>
      </c>
      <c r="N265" s="13">
        <v>0.15</v>
      </c>
    </row>
    <row r="266" spans="1:14">
      <c r="A266" s="10" t="s">
        <v>288</v>
      </c>
      <c r="B266" s="11">
        <v>46064</v>
      </c>
      <c r="C266" s="10" t="s">
        <v>37</v>
      </c>
      <c r="D266" s="10" t="s">
        <v>38</v>
      </c>
      <c r="E266" s="10" t="s">
        <v>36</v>
      </c>
      <c r="F266" s="10" t="s">
        <v>178</v>
      </c>
      <c r="G266" s="10" t="s">
        <v>114</v>
      </c>
      <c r="H266" s="10" t="s">
        <v>115</v>
      </c>
      <c r="I266" s="10" t="s">
        <v>58</v>
      </c>
      <c r="J266" s="10" t="s">
        <v>151</v>
      </c>
      <c r="K266" s="10">
        <v>4</v>
      </c>
      <c r="L266" s="12">
        <v>180</v>
      </c>
      <c r="M266" s="12">
        <v>95</v>
      </c>
      <c r="N266" s="13">
        <v>0.15</v>
      </c>
    </row>
    <row r="267" spans="1:14">
      <c r="A267" s="10" t="s">
        <v>332</v>
      </c>
      <c r="B267" s="11">
        <v>46064</v>
      </c>
      <c r="C267" s="10" t="s">
        <v>51</v>
      </c>
      <c r="D267" s="10" t="s">
        <v>52</v>
      </c>
      <c r="E267" s="10" t="s">
        <v>50</v>
      </c>
      <c r="F267" s="10" t="s">
        <v>173</v>
      </c>
      <c r="G267" s="10" t="s">
        <v>118</v>
      </c>
      <c r="H267" s="10" t="s">
        <v>119</v>
      </c>
      <c r="I267" s="10" t="s">
        <v>58</v>
      </c>
      <c r="J267" s="10" t="s">
        <v>150</v>
      </c>
      <c r="K267" s="10">
        <v>4</v>
      </c>
      <c r="L267" s="12">
        <v>130</v>
      </c>
      <c r="M267" s="12">
        <v>65</v>
      </c>
      <c r="N267" s="13">
        <v>0.15</v>
      </c>
    </row>
    <row r="268" spans="1:14">
      <c r="A268" s="10" t="s">
        <v>275</v>
      </c>
      <c r="B268" s="11">
        <v>46096</v>
      </c>
      <c r="C268" s="10" t="s">
        <v>37</v>
      </c>
      <c r="D268" s="10" t="s">
        <v>38</v>
      </c>
      <c r="E268" s="10" t="s">
        <v>36</v>
      </c>
      <c r="F268" s="10" t="s">
        <v>171</v>
      </c>
      <c r="G268" s="10" t="s">
        <v>82</v>
      </c>
      <c r="H268" s="10" t="s">
        <v>83</v>
      </c>
      <c r="I268" s="10" t="s">
        <v>58</v>
      </c>
      <c r="J268" s="10" t="s">
        <v>150</v>
      </c>
      <c r="K268" s="10">
        <v>4</v>
      </c>
      <c r="L268" s="12">
        <v>180</v>
      </c>
      <c r="M268" s="12">
        <v>95</v>
      </c>
      <c r="N268" s="13">
        <v>0.05</v>
      </c>
    </row>
    <row r="269" spans="1:14">
      <c r="A269" s="10" t="s">
        <v>300</v>
      </c>
      <c r="B269" s="11">
        <v>46150</v>
      </c>
      <c r="C269" s="10" t="s">
        <v>37</v>
      </c>
      <c r="D269" s="10" t="s">
        <v>38</v>
      </c>
      <c r="E269" s="10" t="s">
        <v>36</v>
      </c>
      <c r="F269" s="10" t="s">
        <v>173</v>
      </c>
      <c r="G269" s="10" t="s">
        <v>124</v>
      </c>
      <c r="H269" s="10" t="s">
        <v>125</v>
      </c>
      <c r="I269" s="10" t="s">
        <v>58</v>
      </c>
      <c r="J269" s="10" t="s">
        <v>153</v>
      </c>
      <c r="K269" s="10">
        <v>3</v>
      </c>
      <c r="L269" s="12">
        <v>180</v>
      </c>
      <c r="M269" s="12">
        <v>95</v>
      </c>
      <c r="N269" s="13">
        <v>0</v>
      </c>
    </row>
    <row r="270" spans="1:14">
      <c r="A270" s="10" t="s">
        <v>434</v>
      </c>
      <c r="B270" s="11">
        <v>46195</v>
      </c>
      <c r="C270" s="10" t="s">
        <v>48</v>
      </c>
      <c r="D270" s="10" t="s">
        <v>49</v>
      </c>
      <c r="E270" s="10" t="s">
        <v>50</v>
      </c>
      <c r="F270" s="10" t="s">
        <v>173</v>
      </c>
      <c r="G270" s="10" t="s">
        <v>88</v>
      </c>
      <c r="H270" s="10" t="s">
        <v>89</v>
      </c>
      <c r="I270" s="10" t="s">
        <v>58</v>
      </c>
      <c r="J270" s="10" t="s">
        <v>152</v>
      </c>
      <c r="K270" s="10">
        <v>1</v>
      </c>
      <c r="L270" s="12">
        <v>170</v>
      </c>
      <c r="M270" s="12">
        <v>95</v>
      </c>
      <c r="N270" s="13">
        <v>0.15</v>
      </c>
    </row>
    <row r="271" spans="1:14">
      <c r="A271" s="10" t="s">
        <v>418</v>
      </c>
      <c r="B271" s="11">
        <v>46166</v>
      </c>
      <c r="C271" s="10" t="s">
        <v>46</v>
      </c>
      <c r="D271" s="10" t="s">
        <v>47</v>
      </c>
      <c r="E271" s="10" t="s">
        <v>43</v>
      </c>
      <c r="F271" s="10" t="s">
        <v>175</v>
      </c>
      <c r="G271" s="10" t="s">
        <v>68</v>
      </c>
      <c r="H271" s="10" t="s">
        <v>69</v>
      </c>
      <c r="I271" s="10" t="s">
        <v>546</v>
      </c>
      <c r="J271" s="10" t="s">
        <v>153</v>
      </c>
      <c r="K271" s="10">
        <v>3</v>
      </c>
      <c r="L271" s="12">
        <v>55</v>
      </c>
      <c r="M271" s="12">
        <v>22</v>
      </c>
      <c r="N271" s="13">
        <v>0</v>
      </c>
    </row>
    <row r="272" spans="1:14">
      <c r="A272" s="10" t="s">
        <v>447</v>
      </c>
      <c r="B272" s="11">
        <v>46099</v>
      </c>
      <c r="C272" s="10" t="s">
        <v>51</v>
      </c>
      <c r="D272" s="10" t="s">
        <v>52</v>
      </c>
      <c r="E272" s="10" t="s">
        <v>50</v>
      </c>
      <c r="F272" s="10" t="s">
        <v>178</v>
      </c>
      <c r="G272" s="10" t="s">
        <v>112</v>
      </c>
      <c r="H272" s="10" t="s">
        <v>113</v>
      </c>
      <c r="I272" s="10" t="s">
        <v>58</v>
      </c>
      <c r="J272" s="10" t="s">
        <v>150</v>
      </c>
      <c r="K272" s="10">
        <v>1</v>
      </c>
      <c r="L272" s="12">
        <v>136.5</v>
      </c>
      <c r="M272" s="12">
        <v>65</v>
      </c>
      <c r="N272" s="13">
        <v>0.1</v>
      </c>
    </row>
    <row r="273" spans="1:14">
      <c r="A273" s="10" t="s">
        <v>289</v>
      </c>
      <c r="B273" s="11">
        <v>46025</v>
      </c>
      <c r="C273" s="10" t="s">
        <v>37</v>
      </c>
      <c r="D273" s="10" t="s">
        <v>38</v>
      </c>
      <c r="E273" s="10" t="s">
        <v>36</v>
      </c>
      <c r="F273" s="10" t="s">
        <v>173</v>
      </c>
      <c r="G273" s="10" t="s">
        <v>124</v>
      </c>
      <c r="H273" s="10" t="s">
        <v>125</v>
      </c>
      <c r="I273" s="10" t="s">
        <v>58</v>
      </c>
      <c r="J273" s="10" t="s">
        <v>150</v>
      </c>
      <c r="K273" s="10">
        <v>4</v>
      </c>
      <c r="L273" s="12">
        <v>180</v>
      </c>
      <c r="M273" s="12">
        <v>95</v>
      </c>
      <c r="N273" s="13">
        <v>0.15</v>
      </c>
    </row>
    <row r="274" spans="1:14">
      <c r="A274" s="10" t="s">
        <v>324</v>
      </c>
      <c r="B274" s="11">
        <v>46126</v>
      </c>
      <c r="C274" s="10" t="s">
        <v>51</v>
      </c>
      <c r="D274" s="10" t="s">
        <v>52</v>
      </c>
      <c r="E274" s="10" t="s">
        <v>50</v>
      </c>
      <c r="F274" s="10" t="s">
        <v>178</v>
      </c>
      <c r="G274" s="10" t="s">
        <v>102</v>
      </c>
      <c r="H274" s="10" t="s">
        <v>103</v>
      </c>
      <c r="I274" s="10" t="s">
        <v>58</v>
      </c>
      <c r="J274" s="10" t="s">
        <v>150</v>
      </c>
      <c r="K274" s="10">
        <v>4</v>
      </c>
      <c r="L274" s="12">
        <v>130</v>
      </c>
      <c r="M274" s="12">
        <v>65</v>
      </c>
      <c r="N274" s="13">
        <v>0.1</v>
      </c>
    </row>
    <row r="275" spans="1:14">
      <c r="A275" s="10" t="s">
        <v>286</v>
      </c>
      <c r="B275" s="11">
        <v>46189</v>
      </c>
      <c r="C275" s="10" t="s">
        <v>34</v>
      </c>
      <c r="D275" s="10" t="s">
        <v>35</v>
      </c>
      <c r="E275" s="10" t="s">
        <v>36</v>
      </c>
      <c r="F275" s="10" t="s">
        <v>171</v>
      </c>
      <c r="G275" s="10" t="s">
        <v>98</v>
      </c>
      <c r="H275" s="10" t="s">
        <v>99</v>
      </c>
      <c r="I275" s="10" t="s">
        <v>63</v>
      </c>
      <c r="J275" s="10" t="s">
        <v>151</v>
      </c>
      <c r="K275" s="10">
        <v>1</v>
      </c>
      <c r="L275" s="12">
        <v>682.5</v>
      </c>
      <c r="M275" s="12">
        <v>430</v>
      </c>
      <c r="N275" s="13">
        <v>0.1</v>
      </c>
    </row>
    <row r="276" spans="1:14">
      <c r="A276" s="10" t="s">
        <v>355</v>
      </c>
      <c r="B276" s="11">
        <v>46065</v>
      </c>
      <c r="C276" s="10" t="s">
        <v>48</v>
      </c>
      <c r="D276" s="10" t="s">
        <v>49</v>
      </c>
      <c r="E276" s="10" t="s">
        <v>50</v>
      </c>
      <c r="F276" s="10" t="s">
        <v>173</v>
      </c>
      <c r="G276" s="10" t="s">
        <v>136</v>
      </c>
      <c r="H276" s="10" t="s">
        <v>137</v>
      </c>
      <c r="I276" s="10" t="s">
        <v>58</v>
      </c>
      <c r="J276" s="10" t="s">
        <v>150</v>
      </c>
      <c r="K276" s="10">
        <v>2</v>
      </c>
      <c r="L276" s="12">
        <v>170</v>
      </c>
      <c r="M276" s="12">
        <v>95</v>
      </c>
      <c r="N276" s="13">
        <v>0</v>
      </c>
    </row>
    <row r="277" spans="1:14">
      <c r="A277" s="10" t="s">
        <v>280</v>
      </c>
      <c r="B277" s="11">
        <v>46121</v>
      </c>
      <c r="C277" s="10" t="s">
        <v>39</v>
      </c>
      <c r="D277" s="10" t="s">
        <v>40</v>
      </c>
      <c r="E277" s="10" t="s">
        <v>36</v>
      </c>
      <c r="F277" s="10" t="s">
        <v>173</v>
      </c>
      <c r="G277" s="10" t="s">
        <v>100</v>
      </c>
      <c r="H277" s="10" t="s">
        <v>101</v>
      </c>
      <c r="I277" s="10" t="s">
        <v>58</v>
      </c>
      <c r="J277" s="10" t="s">
        <v>151</v>
      </c>
      <c r="K277" s="10">
        <v>3</v>
      </c>
      <c r="L277" s="12">
        <v>260</v>
      </c>
      <c r="M277" s="12">
        <v>155</v>
      </c>
      <c r="N277" s="13">
        <v>0.15</v>
      </c>
    </row>
    <row r="278" spans="1:14">
      <c r="A278" s="10" t="s">
        <v>276</v>
      </c>
      <c r="B278" s="11">
        <v>46141</v>
      </c>
      <c r="C278" s="10" t="s">
        <v>37</v>
      </c>
      <c r="D278" s="10" t="s">
        <v>38</v>
      </c>
      <c r="E278" s="10" t="s">
        <v>36</v>
      </c>
      <c r="F278" s="10" t="s">
        <v>178</v>
      </c>
      <c r="G278" s="10" t="s">
        <v>124</v>
      </c>
      <c r="H278" s="10" t="s">
        <v>125</v>
      </c>
      <c r="I278" s="10" t="s">
        <v>58</v>
      </c>
      <c r="J278" s="10" t="s">
        <v>152</v>
      </c>
      <c r="K278" s="10">
        <v>4</v>
      </c>
      <c r="L278" s="12">
        <v>180</v>
      </c>
      <c r="M278" s="12">
        <v>95</v>
      </c>
      <c r="N278" s="13">
        <v>0.05</v>
      </c>
    </row>
    <row r="279" spans="1:14">
      <c r="A279" s="10" t="s">
        <v>379</v>
      </c>
      <c r="B279" s="11">
        <v>46086</v>
      </c>
      <c r="C279" s="10" t="s">
        <v>39</v>
      </c>
      <c r="D279" s="10" t="s">
        <v>40</v>
      </c>
      <c r="E279" s="10" t="s">
        <v>36</v>
      </c>
      <c r="F279" s="10" t="s">
        <v>175</v>
      </c>
      <c r="G279" s="10" t="s">
        <v>112</v>
      </c>
      <c r="H279" s="10" t="s">
        <v>113</v>
      </c>
      <c r="I279" s="10" t="s">
        <v>58</v>
      </c>
      <c r="J279" s="10" t="s">
        <v>153</v>
      </c>
      <c r="K279" s="10">
        <v>1</v>
      </c>
      <c r="L279" s="12">
        <v>260</v>
      </c>
      <c r="M279" s="12">
        <v>155</v>
      </c>
      <c r="N279" s="13">
        <v>0</v>
      </c>
    </row>
    <row r="280" spans="1:14">
      <c r="A280" s="10" t="s">
        <v>392</v>
      </c>
      <c r="B280" s="11">
        <v>46087</v>
      </c>
      <c r="C280" s="10" t="s">
        <v>41</v>
      </c>
      <c r="D280" s="10" t="s">
        <v>42</v>
      </c>
      <c r="E280" s="10" t="s">
        <v>43</v>
      </c>
      <c r="F280" s="10" t="s">
        <v>171</v>
      </c>
      <c r="G280" s="10" t="s">
        <v>116</v>
      </c>
      <c r="H280" s="10" t="s">
        <v>117</v>
      </c>
      <c r="I280" s="10" t="s">
        <v>63</v>
      </c>
      <c r="J280" s="10" t="s">
        <v>152</v>
      </c>
      <c r="K280" s="10">
        <v>7</v>
      </c>
      <c r="L280" s="12">
        <v>36.75</v>
      </c>
      <c r="M280" s="12">
        <v>14</v>
      </c>
      <c r="N280" s="13">
        <v>0.1</v>
      </c>
    </row>
    <row r="281" spans="1:14">
      <c r="A281" s="10" t="s">
        <v>392</v>
      </c>
      <c r="B281" s="11">
        <v>46087</v>
      </c>
      <c r="C281" s="10" t="s">
        <v>41</v>
      </c>
      <c r="D281" s="10" t="s">
        <v>42</v>
      </c>
      <c r="E281" s="10" t="s">
        <v>43</v>
      </c>
      <c r="F281" s="10" t="s">
        <v>171</v>
      </c>
      <c r="G281" s="10" t="s">
        <v>116</v>
      </c>
      <c r="H281" s="10" t="s">
        <v>117</v>
      </c>
      <c r="I281" s="10" t="s">
        <v>63</v>
      </c>
      <c r="J281" s="10" t="s">
        <v>152</v>
      </c>
      <c r="K281" s="10">
        <v>7</v>
      </c>
      <c r="L281" s="12">
        <v>36.75</v>
      </c>
      <c r="M281" s="12">
        <v>14</v>
      </c>
      <c r="N281" s="13">
        <v>0.1</v>
      </c>
    </row>
    <row r="282" spans="1:14">
      <c r="A282" s="10" t="s">
        <v>226</v>
      </c>
      <c r="B282" s="11">
        <v>46040</v>
      </c>
      <c r="C282" s="10" t="s">
        <v>34</v>
      </c>
      <c r="D282" s="10" t="s">
        <v>35</v>
      </c>
      <c r="E282" s="10" t="s">
        <v>36</v>
      </c>
      <c r="F282" s="10" t="s">
        <v>173</v>
      </c>
      <c r="G282" s="10" t="s">
        <v>72</v>
      </c>
      <c r="H282" s="10" t="s">
        <v>73</v>
      </c>
      <c r="I282" s="10" t="s">
        <v>58</v>
      </c>
      <c r="J282" s="10" t="s">
        <v>150</v>
      </c>
      <c r="K282" s="10">
        <v>2</v>
      </c>
      <c r="L282" s="12">
        <v>650</v>
      </c>
      <c r="M282" s="12">
        <v>430</v>
      </c>
      <c r="N282" s="13">
        <v>0</v>
      </c>
    </row>
    <row r="283" spans="1:14">
      <c r="A283" s="10" t="s">
        <v>273</v>
      </c>
      <c r="B283" s="11">
        <v>46183</v>
      </c>
      <c r="C283" s="10" t="s">
        <v>48</v>
      </c>
      <c r="D283" s="10" t="s">
        <v>49</v>
      </c>
      <c r="E283" s="10" t="s">
        <v>50</v>
      </c>
      <c r="F283" s="10" t="s">
        <v>171</v>
      </c>
      <c r="G283" s="10" t="s">
        <v>110</v>
      </c>
      <c r="H283" s="10" t="s">
        <v>111</v>
      </c>
      <c r="I283" s="10" t="s">
        <v>63</v>
      </c>
      <c r="J283" s="10" t="s">
        <v>153</v>
      </c>
      <c r="K283" s="10">
        <v>5</v>
      </c>
      <c r="L283" s="12">
        <v>161.5</v>
      </c>
      <c r="M283" s="12">
        <v>95</v>
      </c>
      <c r="N283" s="13">
        <v>0.15</v>
      </c>
    </row>
    <row r="284" spans="1:14">
      <c r="A284" s="10" t="s">
        <v>222</v>
      </c>
      <c r="B284" s="11">
        <v>46178</v>
      </c>
      <c r="C284" s="10" t="s">
        <v>34</v>
      </c>
      <c r="D284" s="10" t="s">
        <v>35</v>
      </c>
      <c r="E284" s="10" t="s">
        <v>36</v>
      </c>
      <c r="F284" s="10" t="s">
        <v>537</v>
      </c>
      <c r="G284" s="10" t="s">
        <v>100</v>
      </c>
      <c r="H284" s="10" t="s">
        <v>101</v>
      </c>
      <c r="I284" s="10" t="s">
        <v>58</v>
      </c>
      <c r="J284" s="10" t="s">
        <v>153</v>
      </c>
      <c r="K284" s="10">
        <v>2</v>
      </c>
      <c r="L284" s="12">
        <v>682.5</v>
      </c>
      <c r="M284" s="12">
        <v>430</v>
      </c>
      <c r="N284" s="13">
        <v>0</v>
      </c>
    </row>
    <row r="285" spans="1:14">
      <c r="A285" s="10" t="s">
        <v>369</v>
      </c>
      <c r="B285" s="11">
        <v>46106</v>
      </c>
      <c r="C285" s="10" t="s">
        <v>48</v>
      </c>
      <c r="D285" s="10" t="s">
        <v>49</v>
      </c>
      <c r="E285" s="10" t="s">
        <v>50</v>
      </c>
      <c r="F285" s="10" t="s">
        <v>171</v>
      </c>
      <c r="G285" s="10" t="s">
        <v>136</v>
      </c>
      <c r="H285" s="10" t="s">
        <v>137</v>
      </c>
      <c r="I285" s="10" t="s">
        <v>58</v>
      </c>
      <c r="J285" s="10" t="s">
        <v>151</v>
      </c>
      <c r="K285" s="10">
        <v>2</v>
      </c>
      <c r="L285" s="12">
        <v>161.5</v>
      </c>
      <c r="M285" s="12">
        <v>95</v>
      </c>
      <c r="N285" s="13">
        <v>0.15</v>
      </c>
    </row>
    <row r="286" spans="1:14">
      <c r="A286" s="10" t="s">
        <v>252</v>
      </c>
      <c r="B286" s="11">
        <v>46024</v>
      </c>
      <c r="C286" s="10" t="s">
        <v>39</v>
      </c>
      <c r="D286" s="10" t="s">
        <v>40</v>
      </c>
      <c r="E286" s="10" t="s">
        <v>36</v>
      </c>
      <c r="F286" s="10" t="s">
        <v>178</v>
      </c>
      <c r="G286" s="10" t="s">
        <v>134</v>
      </c>
      <c r="H286" s="10" t="s">
        <v>135</v>
      </c>
      <c r="I286" s="10" t="s">
        <v>63</v>
      </c>
      <c r="J286" s="10" t="s">
        <v>151</v>
      </c>
      <c r="K286" s="10">
        <v>4</v>
      </c>
      <c r="L286" s="12">
        <v>273</v>
      </c>
      <c r="M286" s="12">
        <v>155</v>
      </c>
      <c r="N286" s="13">
        <v>0.15</v>
      </c>
    </row>
    <row r="287" spans="1:14">
      <c r="A287" s="10" t="s">
        <v>359</v>
      </c>
      <c r="B287" s="11">
        <v>46099</v>
      </c>
      <c r="C287" s="10" t="s">
        <v>37</v>
      </c>
      <c r="D287" s="10" t="s">
        <v>38</v>
      </c>
      <c r="E287" s="10" t="s">
        <v>36</v>
      </c>
      <c r="F287" s="10" t="s">
        <v>175</v>
      </c>
      <c r="G287" s="10" t="s">
        <v>66</v>
      </c>
      <c r="H287" s="10" t="s">
        <v>67</v>
      </c>
      <c r="I287" s="10" t="s">
        <v>58</v>
      </c>
      <c r="J287" s="10" t="s">
        <v>539</v>
      </c>
      <c r="K287" s="10">
        <v>2</v>
      </c>
      <c r="L287" s="12">
        <v>180</v>
      </c>
      <c r="M287" s="12">
        <v>95</v>
      </c>
      <c r="N287" s="13">
        <v>0.15</v>
      </c>
    </row>
    <row r="288" spans="1:14">
      <c r="A288" s="10" t="s">
        <v>394</v>
      </c>
      <c r="B288" s="11">
        <v>46106</v>
      </c>
      <c r="C288" s="10" t="s">
        <v>46</v>
      </c>
      <c r="D288" s="10" t="s">
        <v>47</v>
      </c>
      <c r="E288" s="10" t="s">
        <v>43</v>
      </c>
      <c r="F288" s="10" t="s">
        <v>171</v>
      </c>
      <c r="G288" s="10" t="s">
        <v>56</v>
      </c>
      <c r="H288" s="10" t="s">
        <v>57</v>
      </c>
      <c r="I288" s="10" t="s">
        <v>58</v>
      </c>
      <c r="J288" s="10" t="s">
        <v>153</v>
      </c>
      <c r="K288" s="10">
        <v>4</v>
      </c>
      <c r="L288" s="12">
        <v>57.75</v>
      </c>
      <c r="M288" s="12">
        <v>22</v>
      </c>
      <c r="N288" s="13">
        <v>0</v>
      </c>
    </row>
    <row r="289" spans="1:14">
      <c r="A289" s="10" t="s">
        <v>388</v>
      </c>
      <c r="B289" s="11">
        <v>46194</v>
      </c>
      <c r="C289" s="10" t="s">
        <v>39</v>
      </c>
      <c r="D289" s="10" t="s">
        <v>40</v>
      </c>
      <c r="E289" s="10" t="s">
        <v>36</v>
      </c>
      <c r="F289" s="10" t="s">
        <v>173</v>
      </c>
      <c r="G289" s="10" t="s">
        <v>108</v>
      </c>
      <c r="H289" s="10" t="s">
        <v>109</v>
      </c>
      <c r="I289" s="10" t="s">
        <v>58</v>
      </c>
      <c r="J289" s="10" t="s">
        <v>152</v>
      </c>
      <c r="K289" s="10">
        <v>1</v>
      </c>
      <c r="L289" s="12">
        <v>260</v>
      </c>
      <c r="M289" s="12">
        <v>155</v>
      </c>
      <c r="N289" s="13">
        <v>0.1</v>
      </c>
    </row>
    <row r="290" spans="1:14">
      <c r="A290" s="10" t="s">
        <v>360</v>
      </c>
      <c r="B290" s="11">
        <v>46127</v>
      </c>
      <c r="C290" s="10" t="s">
        <v>37</v>
      </c>
      <c r="D290" s="10" t="s">
        <v>38</v>
      </c>
      <c r="E290" s="10" t="s">
        <v>36</v>
      </c>
      <c r="F290" s="10" t="s">
        <v>175</v>
      </c>
      <c r="G290" s="10" t="s">
        <v>94</v>
      </c>
      <c r="H290" s="10" t="s">
        <v>95</v>
      </c>
      <c r="I290" s="10" t="s">
        <v>58</v>
      </c>
      <c r="J290" s="10" t="s">
        <v>151</v>
      </c>
      <c r="K290" s="10">
        <v>2</v>
      </c>
      <c r="L290" s="12">
        <v>180</v>
      </c>
      <c r="M290" s="12">
        <v>95</v>
      </c>
      <c r="N290" s="13">
        <v>0.15</v>
      </c>
    </row>
    <row r="291" spans="1:14">
      <c r="A291" s="10" t="s">
        <v>403</v>
      </c>
      <c r="B291" s="11">
        <v>46079</v>
      </c>
      <c r="C291" s="10" t="s">
        <v>37</v>
      </c>
      <c r="D291" s="10" t="s">
        <v>38</v>
      </c>
      <c r="E291" s="10" t="s">
        <v>36</v>
      </c>
      <c r="F291" s="10" t="s">
        <v>171</v>
      </c>
      <c r="G291" s="10" t="s">
        <v>56</v>
      </c>
      <c r="H291" s="10"/>
      <c r="I291" s="10" t="s">
        <v>58</v>
      </c>
      <c r="J291" s="10" t="s">
        <v>153</v>
      </c>
      <c r="K291" s="10">
        <v>1</v>
      </c>
      <c r="L291" s="12">
        <v>189</v>
      </c>
      <c r="M291" s="12">
        <v>95</v>
      </c>
      <c r="N291" s="13">
        <v>0</v>
      </c>
    </row>
    <row r="292" spans="1:14">
      <c r="A292" s="10" t="s">
        <v>170</v>
      </c>
      <c r="B292" s="11">
        <v>46024</v>
      </c>
      <c r="C292" s="10" t="s">
        <v>34</v>
      </c>
      <c r="D292" s="10" t="s">
        <v>35</v>
      </c>
      <c r="E292" s="10" t="s">
        <v>36</v>
      </c>
      <c r="F292" s="10" t="s">
        <v>171</v>
      </c>
      <c r="G292" s="10" t="s">
        <v>110</v>
      </c>
      <c r="H292" s="10" t="s">
        <v>111</v>
      </c>
      <c r="I292" s="10" t="s">
        <v>63</v>
      </c>
      <c r="J292" s="10" t="s">
        <v>150</v>
      </c>
      <c r="K292" s="10">
        <v>11</v>
      </c>
      <c r="L292" s="12">
        <v>682.5</v>
      </c>
      <c r="M292" s="12">
        <v>430</v>
      </c>
      <c r="N292" s="13">
        <v>0.05</v>
      </c>
    </row>
    <row r="293" spans="1:14">
      <c r="A293" s="10" t="s">
        <v>496</v>
      </c>
      <c r="B293" s="11">
        <v>46155</v>
      </c>
      <c r="C293" s="10" t="s">
        <v>46</v>
      </c>
      <c r="D293" s="10" t="s">
        <v>47</v>
      </c>
      <c r="E293" s="10" t="s">
        <v>43</v>
      </c>
      <c r="F293" s="10" t="s">
        <v>178</v>
      </c>
      <c r="G293" s="10" t="s">
        <v>110</v>
      </c>
      <c r="H293" s="10" t="s">
        <v>111</v>
      </c>
      <c r="I293" s="10" t="s">
        <v>63</v>
      </c>
      <c r="J293" s="10" t="s">
        <v>152</v>
      </c>
      <c r="K293" s="10">
        <v>1</v>
      </c>
      <c r="L293" s="12">
        <v>55</v>
      </c>
      <c r="M293" s="12">
        <v>22</v>
      </c>
      <c r="N293" s="13">
        <v>0</v>
      </c>
    </row>
    <row r="294" spans="1:14">
      <c r="A294" s="10" t="s">
        <v>298</v>
      </c>
      <c r="B294" s="11">
        <v>46193</v>
      </c>
      <c r="C294" s="10" t="s">
        <v>51</v>
      </c>
      <c r="D294" s="10" t="s">
        <v>551</v>
      </c>
      <c r="E294" s="10" t="s">
        <v>50</v>
      </c>
      <c r="F294" s="10" t="s">
        <v>175</v>
      </c>
      <c r="G294" s="10" t="s">
        <v>108</v>
      </c>
      <c r="H294" s="10" t="s">
        <v>109</v>
      </c>
      <c r="I294" s="10" t="s">
        <v>58</v>
      </c>
      <c r="J294" s="10" t="s">
        <v>152</v>
      </c>
      <c r="K294" s="10">
        <v>4</v>
      </c>
      <c r="L294" s="12">
        <v>136.5</v>
      </c>
      <c r="M294" s="12">
        <v>65</v>
      </c>
      <c r="N294" s="13">
        <v>0</v>
      </c>
    </row>
    <row r="295" spans="1:14">
      <c r="A295" s="10" t="s">
        <v>487</v>
      </c>
      <c r="B295" s="11">
        <v>46093</v>
      </c>
      <c r="C295" s="10" t="s">
        <v>41</v>
      </c>
      <c r="D295" s="10" t="s">
        <v>42</v>
      </c>
      <c r="E295" s="10" t="s">
        <v>43</v>
      </c>
      <c r="F295" s="10" t="s">
        <v>171</v>
      </c>
      <c r="G295" s="10" t="s">
        <v>136</v>
      </c>
      <c r="H295" s="10" t="s">
        <v>137</v>
      </c>
      <c r="I295" s="10" t="s">
        <v>58</v>
      </c>
      <c r="J295" s="10" t="s">
        <v>151</v>
      </c>
      <c r="K295" s="10">
        <v>2</v>
      </c>
      <c r="L295" s="12">
        <v>35</v>
      </c>
      <c r="M295" s="12">
        <v>14</v>
      </c>
      <c r="N295" s="13">
        <v>0</v>
      </c>
    </row>
    <row r="296" spans="1:14">
      <c r="A296" s="10" t="s">
        <v>183</v>
      </c>
      <c r="B296" s="11">
        <v>46150</v>
      </c>
      <c r="C296" s="10" t="s">
        <v>34</v>
      </c>
      <c r="D296" s="10" t="s">
        <v>35</v>
      </c>
      <c r="E296" s="10" t="s">
        <v>36</v>
      </c>
      <c r="F296" s="10" t="s">
        <v>171</v>
      </c>
      <c r="G296" s="10" t="s">
        <v>106</v>
      </c>
      <c r="H296" s="10" t="s">
        <v>107</v>
      </c>
      <c r="I296" s="10" t="s">
        <v>58</v>
      </c>
      <c r="J296" s="10" t="s">
        <v>152</v>
      </c>
      <c r="K296" s="10">
        <v>4</v>
      </c>
      <c r="L296" s="12">
        <v>650</v>
      </c>
      <c r="M296" s="12">
        <v>430</v>
      </c>
      <c r="N296" s="13">
        <v>0</v>
      </c>
    </row>
    <row r="297" spans="1:14">
      <c r="A297" s="10" t="s">
        <v>256</v>
      </c>
      <c r="B297" s="11">
        <v>46153</v>
      </c>
      <c r="C297" s="10" t="s">
        <v>51</v>
      </c>
      <c r="D297" s="10" t="s">
        <v>52</v>
      </c>
      <c r="E297" s="10" t="s">
        <v>50</v>
      </c>
      <c r="F297" s="10" t="s">
        <v>175</v>
      </c>
      <c r="G297" s="10" t="s">
        <v>92</v>
      </c>
      <c r="H297" s="10" t="s">
        <v>93</v>
      </c>
      <c r="I297" s="10" t="s">
        <v>63</v>
      </c>
      <c r="J297" s="10" t="s">
        <v>153</v>
      </c>
      <c r="K297" s="10">
        <v>8</v>
      </c>
      <c r="L297" s="12">
        <v>123.5</v>
      </c>
      <c r="M297" s="12">
        <v>65</v>
      </c>
      <c r="N297" s="13">
        <v>0.15</v>
      </c>
    </row>
    <row r="298" spans="1:14">
      <c r="A298" s="10" t="s">
        <v>499</v>
      </c>
      <c r="B298" s="11">
        <v>46141</v>
      </c>
      <c r="C298" s="10" t="s">
        <v>44</v>
      </c>
      <c r="D298" s="10" t="s">
        <v>45</v>
      </c>
      <c r="E298" s="10" t="s">
        <v>43</v>
      </c>
      <c r="F298" s="10" t="s">
        <v>178</v>
      </c>
      <c r="G298" s="10" t="s">
        <v>64</v>
      </c>
      <c r="H298" s="10" t="s">
        <v>65</v>
      </c>
      <c r="I298" s="10" t="s">
        <v>58</v>
      </c>
      <c r="J298" s="10" t="s">
        <v>151</v>
      </c>
      <c r="K298" s="10">
        <v>3</v>
      </c>
      <c r="L298" s="12">
        <v>19</v>
      </c>
      <c r="M298" s="12">
        <v>7</v>
      </c>
      <c r="N298" s="13">
        <v>0.05</v>
      </c>
    </row>
    <row r="299" spans="1:14">
      <c r="A299" s="10" t="s">
        <v>281</v>
      </c>
      <c r="B299" s="11">
        <v>46117</v>
      </c>
      <c r="C299" s="10" t="s">
        <v>34</v>
      </c>
      <c r="D299" s="10" t="s">
        <v>35</v>
      </c>
      <c r="E299" s="10" t="s">
        <v>36</v>
      </c>
      <c r="F299" s="10" t="s">
        <v>173</v>
      </c>
      <c r="G299" s="10" t="s">
        <v>59</v>
      </c>
      <c r="H299" s="10" t="s">
        <v>60</v>
      </c>
      <c r="I299" s="10" t="s">
        <v>58</v>
      </c>
      <c r="J299" s="10" t="s">
        <v>150</v>
      </c>
      <c r="K299" s="10">
        <v>1</v>
      </c>
      <c r="L299" s="12">
        <v>650</v>
      </c>
      <c r="M299" s="12">
        <v>430</v>
      </c>
      <c r="N299" s="13">
        <v>0</v>
      </c>
    </row>
    <row r="300" spans="1:14">
      <c r="A300" s="10" t="s">
        <v>236</v>
      </c>
      <c r="B300" s="11">
        <v>46094</v>
      </c>
      <c r="C300" s="10" t="s">
        <v>51</v>
      </c>
      <c r="D300" s="10" t="s">
        <v>52</v>
      </c>
      <c r="E300" s="10" t="s">
        <v>50</v>
      </c>
      <c r="F300" s="10" t="s">
        <v>175</v>
      </c>
      <c r="G300" s="10" t="s">
        <v>68</v>
      </c>
      <c r="H300" s="10" t="s">
        <v>69</v>
      </c>
      <c r="I300" s="10" t="s">
        <v>63</v>
      </c>
      <c r="J300" s="10" t="s">
        <v>152</v>
      </c>
      <c r="K300" s="10">
        <v>11</v>
      </c>
      <c r="L300" s="12">
        <v>130</v>
      </c>
      <c r="M300" s="12">
        <v>65</v>
      </c>
      <c r="N300" s="13">
        <v>0.15</v>
      </c>
    </row>
    <row r="301" spans="1:14">
      <c r="A301" s="10" t="s">
        <v>523</v>
      </c>
      <c r="B301" s="11">
        <v>46038</v>
      </c>
      <c r="C301" s="10" t="s">
        <v>44</v>
      </c>
      <c r="D301" s="10" t="s">
        <v>45</v>
      </c>
      <c r="E301" s="10" t="s">
        <v>43</v>
      </c>
      <c r="F301" s="10" t="s">
        <v>175</v>
      </c>
      <c r="G301" s="10" t="s">
        <v>94</v>
      </c>
      <c r="H301" s="10" t="s">
        <v>95</v>
      </c>
      <c r="I301" s="10" t="s">
        <v>58</v>
      </c>
      <c r="J301" s="10" t="s">
        <v>150</v>
      </c>
      <c r="K301" s="10">
        <v>1</v>
      </c>
      <c r="L301" s="12">
        <v>20</v>
      </c>
      <c r="M301" s="12">
        <v>7</v>
      </c>
      <c r="N301" s="13">
        <v>0</v>
      </c>
    </row>
    <row r="302" spans="1:14">
      <c r="A302" s="10" t="s">
        <v>514</v>
      </c>
      <c r="B302" s="11">
        <v>46090</v>
      </c>
      <c r="C302" s="10" t="s">
        <v>41</v>
      </c>
      <c r="D302" s="10" t="s">
        <v>42</v>
      </c>
      <c r="E302" s="10" t="s">
        <v>43</v>
      </c>
      <c r="F302" s="10" t="s">
        <v>173</v>
      </c>
      <c r="G302" s="10" t="s">
        <v>126</v>
      </c>
      <c r="H302" s="10" t="s">
        <v>127</v>
      </c>
      <c r="I302" s="10" t="s">
        <v>58</v>
      </c>
      <c r="J302" s="10" t="s">
        <v>153</v>
      </c>
      <c r="K302" s="10">
        <v>1</v>
      </c>
      <c r="L302" s="12">
        <v>35</v>
      </c>
      <c r="M302" s="12">
        <v>14</v>
      </c>
      <c r="N302" s="13">
        <v>0</v>
      </c>
    </row>
    <row r="303" spans="1:14">
      <c r="A303" s="10" t="s">
        <v>552</v>
      </c>
      <c r="B303" s="11">
        <v>46187</v>
      </c>
      <c r="C303" s="10" t="s">
        <v>51</v>
      </c>
      <c r="D303" s="10" t="s">
        <v>52</v>
      </c>
      <c r="E303" s="10" t="s">
        <v>50</v>
      </c>
      <c r="F303" s="10" t="s">
        <v>173</v>
      </c>
      <c r="G303" s="10" t="s">
        <v>108</v>
      </c>
      <c r="H303" s="10" t="s">
        <v>109</v>
      </c>
      <c r="I303" s="10" t="s">
        <v>58</v>
      </c>
      <c r="J303" s="10" t="s">
        <v>151</v>
      </c>
      <c r="K303" s="10"/>
      <c r="L303" s="12">
        <v>136.5</v>
      </c>
      <c r="M303" s="12">
        <v>65</v>
      </c>
      <c r="N303" s="13">
        <v>0.15</v>
      </c>
    </row>
    <row r="304" spans="1:14">
      <c r="A304" s="10" t="s">
        <v>356</v>
      </c>
      <c r="B304" s="11">
        <v>46197</v>
      </c>
      <c r="C304" s="10" t="s">
        <v>48</v>
      </c>
      <c r="D304" s="10" t="s">
        <v>49</v>
      </c>
      <c r="E304" s="10" t="s">
        <v>50</v>
      </c>
      <c r="F304" s="10" t="s">
        <v>175</v>
      </c>
      <c r="G304" s="10" t="s">
        <v>106</v>
      </c>
      <c r="H304" s="10" t="s">
        <v>107</v>
      </c>
      <c r="I304" s="10" t="s">
        <v>58</v>
      </c>
      <c r="J304" s="10" t="s">
        <v>153</v>
      </c>
      <c r="K304" s="10">
        <v>2</v>
      </c>
      <c r="L304" s="12">
        <v>170</v>
      </c>
      <c r="M304" s="12">
        <v>95</v>
      </c>
      <c r="N304" s="13">
        <v>0</v>
      </c>
    </row>
    <row r="305" spans="1:14">
      <c r="A305" s="10" t="s">
        <v>203</v>
      </c>
      <c r="B305" s="11">
        <v>46024</v>
      </c>
      <c r="C305" s="10" t="s">
        <v>48</v>
      </c>
      <c r="D305" s="10" t="s">
        <v>49</v>
      </c>
      <c r="E305" s="10" t="s">
        <v>50</v>
      </c>
      <c r="F305" s="10" t="s">
        <v>178</v>
      </c>
      <c r="G305" s="10" t="s">
        <v>68</v>
      </c>
      <c r="H305" s="10" t="s">
        <v>69</v>
      </c>
      <c r="I305" s="10" t="s">
        <v>63</v>
      </c>
      <c r="J305" s="10" t="s">
        <v>151</v>
      </c>
      <c r="K305" s="10">
        <v>11</v>
      </c>
      <c r="L305" s="12">
        <v>170</v>
      </c>
      <c r="M305" s="12">
        <v>95</v>
      </c>
      <c r="N305" s="13">
        <v>0.05</v>
      </c>
    </row>
    <row r="306" spans="1:14">
      <c r="A306" s="10" t="s">
        <v>316</v>
      </c>
      <c r="B306" s="11">
        <v>46156</v>
      </c>
      <c r="C306" s="10" t="s">
        <v>51</v>
      </c>
      <c r="D306" s="10" t="s">
        <v>52</v>
      </c>
      <c r="E306" s="10" t="s">
        <v>50</v>
      </c>
      <c r="F306" s="10" t="s">
        <v>173</v>
      </c>
      <c r="G306" s="10" t="s">
        <v>114</v>
      </c>
      <c r="H306" s="10" t="s">
        <v>115</v>
      </c>
      <c r="I306" s="10" t="s">
        <v>58</v>
      </c>
      <c r="J306" s="10" t="s">
        <v>153</v>
      </c>
      <c r="K306" s="10">
        <v>4</v>
      </c>
      <c r="L306" s="12">
        <v>130</v>
      </c>
      <c r="M306" s="12">
        <v>65</v>
      </c>
      <c r="N306" s="13">
        <v>0.05</v>
      </c>
    </row>
    <row r="307" spans="1:14">
      <c r="A307" s="10" t="s">
        <v>282</v>
      </c>
      <c r="B307" s="11">
        <v>46182</v>
      </c>
      <c r="C307" s="10" t="s">
        <v>34</v>
      </c>
      <c r="D307" s="10" t="s">
        <v>35</v>
      </c>
      <c r="E307" s="10" t="s">
        <v>36</v>
      </c>
      <c r="F307" s="10" t="s">
        <v>175</v>
      </c>
      <c r="G307" s="10" t="s">
        <v>112</v>
      </c>
      <c r="H307" s="10" t="s">
        <v>113</v>
      </c>
      <c r="I307" s="10" t="s">
        <v>58</v>
      </c>
      <c r="J307" s="10" t="s">
        <v>152</v>
      </c>
      <c r="K307" s="10">
        <v>1</v>
      </c>
      <c r="L307" s="12">
        <v>650</v>
      </c>
      <c r="M307" s="12">
        <v>430</v>
      </c>
      <c r="N307" s="13">
        <v>0</v>
      </c>
    </row>
    <row r="308" spans="1:14">
      <c r="A308" s="10" t="s">
        <v>317</v>
      </c>
      <c r="B308" s="11">
        <v>46197</v>
      </c>
      <c r="C308" s="10" t="s">
        <v>51</v>
      </c>
      <c r="D308" s="10" t="s">
        <v>52</v>
      </c>
      <c r="E308" s="10" t="s">
        <v>50</v>
      </c>
      <c r="F308" s="10" t="s">
        <v>178</v>
      </c>
      <c r="G308" s="10" t="s">
        <v>74</v>
      </c>
      <c r="H308" s="10" t="s">
        <v>75</v>
      </c>
      <c r="I308" s="10" t="s">
        <v>63</v>
      </c>
      <c r="J308" s="10" t="s">
        <v>153</v>
      </c>
      <c r="K308" s="10">
        <v>4</v>
      </c>
      <c r="L308" s="12">
        <v>130</v>
      </c>
      <c r="M308" s="12">
        <v>65</v>
      </c>
      <c r="N308" s="13">
        <v>0.05</v>
      </c>
    </row>
    <row r="309" spans="1:14">
      <c r="A309" s="10" t="s">
        <v>197</v>
      </c>
      <c r="B309" s="11">
        <v>46134</v>
      </c>
      <c r="C309" s="10" t="s">
        <v>34</v>
      </c>
      <c r="D309" s="10" t="s">
        <v>35</v>
      </c>
      <c r="E309" s="10" t="s">
        <v>36</v>
      </c>
      <c r="F309" s="10" t="s">
        <v>175</v>
      </c>
      <c r="G309" s="10" t="s">
        <v>130</v>
      </c>
      <c r="H309" s="10" t="s">
        <v>131</v>
      </c>
      <c r="I309" s="10" t="s">
        <v>58</v>
      </c>
      <c r="J309" s="10" t="s">
        <v>151</v>
      </c>
      <c r="K309" s="10">
        <v>3</v>
      </c>
      <c r="L309" s="12">
        <v>650</v>
      </c>
      <c r="M309" s="12">
        <v>430</v>
      </c>
      <c r="N309" s="13">
        <v>0</v>
      </c>
    </row>
    <row r="310" spans="1:14">
      <c r="A310" s="10" t="s">
        <v>421</v>
      </c>
      <c r="B310" s="11">
        <v>46062</v>
      </c>
      <c r="C310" s="10" t="s">
        <v>48</v>
      </c>
      <c r="D310" s="10" t="s">
        <v>49</v>
      </c>
      <c r="E310" s="10" t="s">
        <v>50</v>
      </c>
      <c r="F310" s="10" t="s">
        <v>173</v>
      </c>
      <c r="G310" s="10" t="s">
        <v>59</v>
      </c>
      <c r="H310" s="10" t="s">
        <v>60</v>
      </c>
      <c r="I310" s="10" t="s">
        <v>58</v>
      </c>
      <c r="J310" s="10" t="s">
        <v>150</v>
      </c>
      <c r="K310" s="10">
        <v>1</v>
      </c>
      <c r="L310" s="12">
        <v>178.5</v>
      </c>
      <c r="M310" s="12">
        <v>95</v>
      </c>
      <c r="N310" s="13">
        <v>0.1</v>
      </c>
    </row>
    <row r="311" spans="1:14">
      <c r="A311" s="10" t="s">
        <v>497</v>
      </c>
      <c r="B311" s="11">
        <v>46186</v>
      </c>
      <c r="C311" s="10" t="s">
        <v>46</v>
      </c>
      <c r="D311" s="10" t="s">
        <v>47</v>
      </c>
      <c r="E311" s="10" t="s">
        <v>43</v>
      </c>
      <c r="F311" s="10" t="s">
        <v>537</v>
      </c>
      <c r="G311" s="10" t="s">
        <v>88</v>
      </c>
      <c r="H311" s="10" t="s">
        <v>89</v>
      </c>
      <c r="I311" s="10" t="s">
        <v>58</v>
      </c>
      <c r="J311" s="10" t="s">
        <v>150</v>
      </c>
      <c r="K311" s="10">
        <v>1</v>
      </c>
      <c r="L311" s="12">
        <v>55</v>
      </c>
      <c r="M311" s="12">
        <v>22</v>
      </c>
      <c r="N311" s="13">
        <v>0</v>
      </c>
    </row>
    <row r="312" spans="1:14">
      <c r="A312" s="10" t="s">
        <v>370</v>
      </c>
      <c r="B312" s="11">
        <v>46186</v>
      </c>
      <c r="C312" s="10" t="s">
        <v>48</v>
      </c>
      <c r="D312" s="10" t="s">
        <v>49</v>
      </c>
      <c r="E312" s="10" t="s">
        <v>50</v>
      </c>
      <c r="F312" s="10" t="s">
        <v>178</v>
      </c>
      <c r="G312" s="10" t="s">
        <v>61</v>
      </c>
      <c r="H312" s="10" t="s">
        <v>62</v>
      </c>
      <c r="I312" s="10" t="s">
        <v>63</v>
      </c>
      <c r="J312" s="10" t="s">
        <v>153</v>
      </c>
      <c r="K312" s="10">
        <v>2</v>
      </c>
      <c r="L312" s="12">
        <v>161.5</v>
      </c>
      <c r="M312" s="12">
        <v>95</v>
      </c>
      <c r="N312" s="13">
        <v>0.15</v>
      </c>
    </row>
    <row r="313" spans="1:14">
      <c r="A313" s="10" t="s">
        <v>370</v>
      </c>
      <c r="B313" s="11">
        <v>46186</v>
      </c>
      <c r="C313" s="10" t="s">
        <v>48</v>
      </c>
      <c r="D313" s="10" t="s">
        <v>49</v>
      </c>
      <c r="E313" s="10" t="s">
        <v>50</v>
      </c>
      <c r="F313" s="10" t="s">
        <v>178</v>
      </c>
      <c r="G313" s="10" t="s">
        <v>61</v>
      </c>
      <c r="H313" s="10" t="s">
        <v>62</v>
      </c>
      <c r="I313" s="10" t="s">
        <v>63</v>
      </c>
      <c r="J313" s="10" t="s">
        <v>153</v>
      </c>
      <c r="K313" s="10">
        <v>2</v>
      </c>
      <c r="L313" s="12">
        <v>161.5</v>
      </c>
      <c r="M313" s="12">
        <v>95</v>
      </c>
      <c r="N313" s="13">
        <v>0.15</v>
      </c>
    </row>
    <row r="314" spans="1:14">
      <c r="A314" s="10" t="s">
        <v>268</v>
      </c>
      <c r="B314" s="11">
        <v>46192</v>
      </c>
      <c r="C314" s="10" t="s">
        <v>37</v>
      </c>
      <c r="D314" s="10" t="s">
        <v>38</v>
      </c>
      <c r="E314" s="10" t="s">
        <v>36</v>
      </c>
      <c r="F314" s="10" t="s">
        <v>173</v>
      </c>
      <c r="G314" s="10" t="s">
        <v>120</v>
      </c>
      <c r="H314" s="10" t="s">
        <v>121</v>
      </c>
      <c r="I314" s="10" t="s">
        <v>58</v>
      </c>
      <c r="J314" s="10" t="s">
        <v>153</v>
      </c>
      <c r="K314" s="10">
        <v>4</v>
      </c>
      <c r="L314" s="12">
        <v>180</v>
      </c>
      <c r="M314" s="12">
        <v>95</v>
      </c>
      <c r="N314" s="13">
        <v>0</v>
      </c>
    </row>
    <row r="315" spans="1:14">
      <c r="A315" s="10" t="s">
        <v>477</v>
      </c>
      <c r="B315" s="11">
        <v>46185</v>
      </c>
      <c r="C315" s="10" t="s">
        <v>44</v>
      </c>
      <c r="D315" s="10" t="s">
        <v>45</v>
      </c>
      <c r="E315" s="10" t="s">
        <v>43</v>
      </c>
      <c r="F315" s="10" t="s">
        <v>171</v>
      </c>
      <c r="G315" s="10" t="s">
        <v>90</v>
      </c>
      <c r="H315" s="10" t="s">
        <v>91</v>
      </c>
      <c r="I315" s="10" t="s">
        <v>58</v>
      </c>
      <c r="J315" s="10" t="s">
        <v>151</v>
      </c>
      <c r="K315" s="10">
        <v>4</v>
      </c>
      <c r="L315" s="12">
        <v>21</v>
      </c>
      <c r="M315" s="12">
        <v>7</v>
      </c>
      <c r="N315" s="13">
        <v>0.05</v>
      </c>
    </row>
    <row r="316" spans="1:14">
      <c r="A316" s="10" t="s">
        <v>361</v>
      </c>
      <c r="B316" s="11">
        <v>46070</v>
      </c>
      <c r="C316" s="10" t="s">
        <v>48</v>
      </c>
      <c r="D316" s="10" t="s">
        <v>49</v>
      </c>
      <c r="E316" s="10" t="s">
        <v>50</v>
      </c>
      <c r="F316" s="10" t="s">
        <v>171</v>
      </c>
      <c r="G316" s="10" t="s">
        <v>132</v>
      </c>
      <c r="H316" s="10" t="s">
        <v>133</v>
      </c>
      <c r="I316" s="10" t="s">
        <v>58</v>
      </c>
      <c r="J316" s="10" t="s">
        <v>153</v>
      </c>
      <c r="K316" s="10">
        <v>2</v>
      </c>
      <c r="L316" s="12">
        <v>178.5</v>
      </c>
      <c r="M316" s="12">
        <v>95</v>
      </c>
      <c r="N316" s="13">
        <v>0.15</v>
      </c>
    </row>
    <row r="317" spans="1:14">
      <c r="A317" s="10" t="s">
        <v>188</v>
      </c>
      <c r="B317" s="11">
        <v>46122</v>
      </c>
      <c r="C317" s="10" t="s">
        <v>34</v>
      </c>
      <c r="D317" s="10" t="s">
        <v>35</v>
      </c>
      <c r="E317" s="10" t="s">
        <v>36</v>
      </c>
      <c r="F317" s="10" t="s">
        <v>178</v>
      </c>
      <c r="G317" s="10" t="s">
        <v>112</v>
      </c>
      <c r="H317" s="10" t="s">
        <v>113</v>
      </c>
      <c r="I317" s="10" t="s">
        <v>58</v>
      </c>
      <c r="J317" s="10" t="s">
        <v>153</v>
      </c>
      <c r="K317" s="10">
        <v>4</v>
      </c>
      <c r="L317" s="12">
        <v>682.5</v>
      </c>
      <c r="M317" s="12">
        <v>430</v>
      </c>
      <c r="N317" s="13">
        <v>0.15</v>
      </c>
    </row>
    <row r="318" spans="1:14">
      <c r="A318" s="10" t="s">
        <v>383</v>
      </c>
      <c r="B318" s="11">
        <v>46172</v>
      </c>
      <c r="C318" s="10" t="s">
        <v>41</v>
      </c>
      <c r="D318" s="10" t="s">
        <v>42</v>
      </c>
      <c r="E318" s="10" t="s">
        <v>43</v>
      </c>
      <c r="F318" s="10" t="s">
        <v>173</v>
      </c>
      <c r="G318" s="10" t="s">
        <v>98</v>
      </c>
      <c r="H318" s="10" t="s">
        <v>99</v>
      </c>
      <c r="I318" s="10" t="s">
        <v>63</v>
      </c>
      <c r="J318" s="10" t="s">
        <v>150</v>
      </c>
      <c r="K318" s="10">
        <v>7</v>
      </c>
      <c r="L318" s="12">
        <v>36.75</v>
      </c>
      <c r="M318" s="12">
        <v>14</v>
      </c>
      <c r="N318" s="13">
        <v>0.05</v>
      </c>
    </row>
    <row r="319" spans="1:14">
      <c r="A319" s="10" t="s">
        <v>253</v>
      </c>
      <c r="B319" s="11">
        <v>46134</v>
      </c>
      <c r="C319" s="10" t="s">
        <v>39</v>
      </c>
      <c r="D319" s="10" t="s">
        <v>40</v>
      </c>
      <c r="E319" s="10" t="s">
        <v>36</v>
      </c>
      <c r="F319" s="10" t="s">
        <v>173</v>
      </c>
      <c r="G319" s="10" t="s">
        <v>78</v>
      </c>
      <c r="H319" s="10" t="s">
        <v>79</v>
      </c>
      <c r="I319" s="10" t="s">
        <v>58</v>
      </c>
      <c r="J319" s="10" t="s">
        <v>150</v>
      </c>
      <c r="K319" s="10">
        <v>4</v>
      </c>
      <c r="L319" s="12">
        <v>273</v>
      </c>
      <c r="M319" s="12">
        <v>155</v>
      </c>
      <c r="N319" s="13">
        <v>0.15</v>
      </c>
    </row>
    <row r="320" spans="1:14">
      <c r="A320" s="10" t="s">
        <v>227</v>
      </c>
      <c r="B320" s="11">
        <v>46188</v>
      </c>
      <c r="C320" s="10" t="s">
        <v>34</v>
      </c>
      <c r="D320" s="10" t="s">
        <v>35</v>
      </c>
      <c r="E320" s="10" t="s">
        <v>36</v>
      </c>
      <c r="F320" s="10" t="s">
        <v>173</v>
      </c>
      <c r="G320" s="10" t="s">
        <v>88</v>
      </c>
      <c r="H320" s="10" t="s">
        <v>89</v>
      </c>
      <c r="I320" s="10" t="s">
        <v>58</v>
      </c>
      <c r="J320" s="10" t="s">
        <v>151</v>
      </c>
      <c r="K320" s="10">
        <v>2</v>
      </c>
      <c r="L320" s="12">
        <v>650</v>
      </c>
      <c r="M320" s="12">
        <v>430</v>
      </c>
      <c r="N320" s="13">
        <v>0</v>
      </c>
    </row>
    <row r="321" spans="1:14">
      <c r="A321" s="10" t="s">
        <v>420</v>
      </c>
      <c r="B321" s="11">
        <v>46192</v>
      </c>
      <c r="C321" s="10" t="s">
        <v>48</v>
      </c>
      <c r="D321" s="10" t="s">
        <v>49</v>
      </c>
      <c r="E321" s="10" t="s">
        <v>50</v>
      </c>
      <c r="F321" s="10" t="s">
        <v>178</v>
      </c>
      <c r="G321" s="10" t="s">
        <v>78</v>
      </c>
      <c r="H321" s="10" t="s">
        <v>79</v>
      </c>
      <c r="I321" s="10" t="s">
        <v>58</v>
      </c>
      <c r="J321" s="10" t="s">
        <v>152</v>
      </c>
      <c r="K321" s="10">
        <v>1</v>
      </c>
      <c r="L321" s="12">
        <v>170</v>
      </c>
      <c r="M321" s="12">
        <v>95</v>
      </c>
      <c r="N321" s="13">
        <v>0.05</v>
      </c>
    </row>
    <row r="322" spans="1:14">
      <c r="A322" s="10" t="s">
        <v>462</v>
      </c>
      <c r="B322" s="11">
        <v>46152</v>
      </c>
      <c r="C322" s="10" t="s">
        <v>41</v>
      </c>
      <c r="D322" s="10" t="s">
        <v>42</v>
      </c>
      <c r="E322" s="10" t="s">
        <v>43</v>
      </c>
      <c r="F322" s="10" t="s">
        <v>173</v>
      </c>
      <c r="G322" s="10" t="s">
        <v>128</v>
      </c>
      <c r="H322" s="10" t="s">
        <v>129</v>
      </c>
      <c r="I322" s="10" t="s">
        <v>63</v>
      </c>
      <c r="J322" s="10" t="s">
        <v>153</v>
      </c>
      <c r="K322" s="10">
        <v>3</v>
      </c>
      <c r="L322" s="12">
        <v>33.25</v>
      </c>
      <c r="M322" s="12">
        <v>14</v>
      </c>
      <c r="N322" s="13">
        <v>0</v>
      </c>
    </row>
    <row r="323" spans="1:14">
      <c r="A323" s="10" t="s">
        <v>414</v>
      </c>
      <c r="B323" s="11">
        <v>46111</v>
      </c>
      <c r="C323" s="10" t="s">
        <v>41</v>
      </c>
      <c r="D323" s="10" t="s">
        <v>42</v>
      </c>
      <c r="E323" s="10"/>
      <c r="F323" s="10" t="s">
        <v>173</v>
      </c>
      <c r="G323" s="10" t="s">
        <v>92</v>
      </c>
      <c r="H323" s="10" t="s">
        <v>93</v>
      </c>
      <c r="I323" s="10" t="s">
        <v>63</v>
      </c>
      <c r="J323" s="10" t="s">
        <v>151</v>
      </c>
      <c r="K323" s="10">
        <v>6</v>
      </c>
      <c r="L323" s="12">
        <v>33.25</v>
      </c>
      <c r="M323" s="12">
        <v>14</v>
      </c>
      <c r="N323" s="13">
        <v>0.15</v>
      </c>
    </row>
    <row r="324" spans="1:14">
      <c r="A324" s="10" t="s">
        <v>347</v>
      </c>
      <c r="B324" s="11">
        <v>46088</v>
      </c>
      <c r="C324" s="10" t="s">
        <v>51</v>
      </c>
      <c r="D324" s="10" t="s">
        <v>52</v>
      </c>
      <c r="E324" s="10" t="s">
        <v>50</v>
      </c>
      <c r="F324" s="10" t="s">
        <v>175</v>
      </c>
      <c r="G324" s="10" t="s">
        <v>72</v>
      </c>
      <c r="H324" s="10" t="s">
        <v>73</v>
      </c>
      <c r="I324" s="10" t="s">
        <v>58</v>
      </c>
      <c r="J324" s="10" t="s">
        <v>150</v>
      </c>
      <c r="K324" s="10">
        <v>3</v>
      </c>
      <c r="L324" s="12">
        <v>123.5</v>
      </c>
      <c r="M324" s="12">
        <v>65</v>
      </c>
      <c r="N324" s="13">
        <v>0.05</v>
      </c>
    </row>
    <row r="325" spans="1:14">
      <c r="A325" s="10" t="s">
        <v>318</v>
      </c>
      <c r="B325" s="11">
        <v>46078</v>
      </c>
      <c r="C325" s="10" t="s">
        <v>51</v>
      </c>
      <c r="D325" s="10" t="s">
        <v>52</v>
      </c>
      <c r="E325" s="10" t="s">
        <v>50</v>
      </c>
      <c r="F325" s="10" t="s">
        <v>173</v>
      </c>
      <c r="G325" s="10" t="s">
        <v>88</v>
      </c>
      <c r="H325" s="10" t="s">
        <v>89</v>
      </c>
      <c r="I325" s="10" t="s">
        <v>58</v>
      </c>
      <c r="J325" s="10" t="s">
        <v>151</v>
      </c>
      <c r="K325" s="10">
        <v>4</v>
      </c>
      <c r="L325" s="12">
        <v>123.5</v>
      </c>
      <c r="M325" s="12"/>
      <c r="N325" s="13">
        <v>0</v>
      </c>
    </row>
    <row r="326" spans="1:14">
      <c r="A326" s="10" t="s">
        <v>524</v>
      </c>
      <c r="B326" s="11">
        <v>46103</v>
      </c>
      <c r="C326" s="10" t="s">
        <v>44</v>
      </c>
      <c r="D326" s="10" t="s">
        <v>45</v>
      </c>
      <c r="E326" s="10" t="s">
        <v>43</v>
      </c>
      <c r="F326" s="10" t="s">
        <v>175</v>
      </c>
      <c r="G326" s="10" t="s">
        <v>100</v>
      </c>
      <c r="H326" s="10" t="s">
        <v>101</v>
      </c>
      <c r="I326" s="10" t="s">
        <v>58</v>
      </c>
      <c r="J326" s="10" t="s">
        <v>150</v>
      </c>
      <c r="K326" s="10">
        <v>1</v>
      </c>
      <c r="L326" s="12">
        <v>21</v>
      </c>
      <c r="M326" s="12">
        <v>7</v>
      </c>
      <c r="N326" s="13">
        <v>0.05</v>
      </c>
    </row>
    <row r="327" spans="1:14">
      <c r="A327" s="10" t="s">
        <v>451</v>
      </c>
      <c r="B327" s="11">
        <v>46164</v>
      </c>
      <c r="C327" s="10" t="s">
        <v>46</v>
      </c>
      <c r="D327" s="10" t="s">
        <v>47</v>
      </c>
      <c r="E327" s="10" t="s">
        <v>43</v>
      </c>
      <c r="F327" s="10" t="s">
        <v>171</v>
      </c>
      <c r="G327" s="10" t="s">
        <v>114</v>
      </c>
      <c r="H327" s="10" t="s">
        <v>115</v>
      </c>
      <c r="I327" s="10" t="s">
        <v>58</v>
      </c>
      <c r="J327" s="10" t="s">
        <v>150</v>
      </c>
      <c r="K327" s="10">
        <v>2</v>
      </c>
      <c r="L327" s="12">
        <v>55</v>
      </c>
      <c r="M327" s="12">
        <v>22</v>
      </c>
      <c r="N327" s="13">
        <v>0</v>
      </c>
    </row>
    <row r="328" spans="1:14">
      <c r="A328" s="10" t="s">
        <v>249</v>
      </c>
      <c r="B328" s="11">
        <v>46072</v>
      </c>
      <c r="C328" s="10" t="s">
        <v>39</v>
      </c>
      <c r="D328" s="10" t="s">
        <v>40</v>
      </c>
      <c r="E328" s="10" t="s">
        <v>36</v>
      </c>
      <c r="F328" s="10" t="s">
        <v>171</v>
      </c>
      <c r="G328" s="10" t="s">
        <v>108</v>
      </c>
      <c r="H328" s="10" t="s">
        <v>109</v>
      </c>
      <c r="I328" s="10" t="s">
        <v>58</v>
      </c>
      <c r="J328" s="10" t="s">
        <v>152</v>
      </c>
      <c r="K328" s="10">
        <v>4</v>
      </c>
      <c r="L328" s="12">
        <v>247</v>
      </c>
      <c r="M328" s="12">
        <v>155</v>
      </c>
      <c r="N328" s="13">
        <v>0</v>
      </c>
    </row>
    <row r="329" spans="1:14">
      <c r="A329" s="10" t="s">
        <v>526</v>
      </c>
      <c r="B329" s="11">
        <v>46175</v>
      </c>
      <c r="C329" s="10" t="s">
        <v>44</v>
      </c>
      <c r="D329" s="10" t="s">
        <v>45</v>
      </c>
      <c r="E329" s="10" t="s">
        <v>43</v>
      </c>
      <c r="F329" s="10" t="s">
        <v>171</v>
      </c>
      <c r="G329" s="10" t="s">
        <v>90</v>
      </c>
      <c r="H329" s="10" t="s">
        <v>91</v>
      </c>
      <c r="I329" s="10" t="s">
        <v>58</v>
      </c>
      <c r="J329" s="10" t="s">
        <v>150</v>
      </c>
      <c r="K329" s="10">
        <v>1</v>
      </c>
      <c r="L329" s="12">
        <v>19</v>
      </c>
      <c r="M329" s="12">
        <v>7</v>
      </c>
      <c r="N329" s="13">
        <v>0</v>
      </c>
    </row>
    <row r="330" spans="1:14">
      <c r="A330" s="10" t="s">
        <v>320</v>
      </c>
      <c r="B330" s="11">
        <v>46089</v>
      </c>
      <c r="C330" s="10" t="s">
        <v>39</v>
      </c>
      <c r="D330" s="10" t="s">
        <v>40</v>
      </c>
      <c r="E330" s="10" t="s">
        <v>36</v>
      </c>
      <c r="F330" s="10" t="s">
        <v>178</v>
      </c>
      <c r="G330" s="10" t="s">
        <v>112</v>
      </c>
      <c r="H330" s="10" t="s">
        <v>113</v>
      </c>
      <c r="I330" s="10" t="s">
        <v>58</v>
      </c>
      <c r="J330" s="10" t="s">
        <v>152</v>
      </c>
      <c r="K330" s="10">
        <v>2</v>
      </c>
      <c r="L330" s="12">
        <v>273</v>
      </c>
      <c r="M330" s="12">
        <v>155</v>
      </c>
      <c r="N330" s="13">
        <v>0.1</v>
      </c>
    </row>
    <row r="331" spans="1:14">
      <c r="A331" s="10" t="s">
        <v>181</v>
      </c>
      <c r="B331" s="11">
        <v>46118</v>
      </c>
      <c r="C331" s="10" t="s">
        <v>34</v>
      </c>
      <c r="D331" s="10" t="s">
        <v>35</v>
      </c>
      <c r="E331" s="10" t="s">
        <v>36</v>
      </c>
      <c r="F331" s="10" t="s">
        <v>171</v>
      </c>
      <c r="G331" s="10" t="s">
        <v>134</v>
      </c>
      <c r="H331" s="10" t="s">
        <v>135</v>
      </c>
      <c r="I331" s="10" t="s">
        <v>63</v>
      </c>
      <c r="J331" s="10" t="s">
        <v>545</v>
      </c>
      <c r="K331" s="10">
        <v>5</v>
      </c>
      <c r="L331" s="12">
        <v>682.5</v>
      </c>
      <c r="M331" s="12">
        <v>430</v>
      </c>
      <c r="N331" s="13">
        <v>0.15</v>
      </c>
    </row>
    <row r="332" spans="1:14">
      <c r="A332" s="10" t="s">
        <v>337</v>
      </c>
      <c r="B332" s="11">
        <v>46118</v>
      </c>
      <c r="C332" s="10" t="s">
        <v>51</v>
      </c>
      <c r="D332" s="10" t="s">
        <v>52</v>
      </c>
      <c r="E332" s="10" t="s">
        <v>50</v>
      </c>
      <c r="F332" s="10" t="s">
        <v>173</v>
      </c>
      <c r="G332" s="10" t="s">
        <v>59</v>
      </c>
      <c r="H332" s="10" t="s">
        <v>60</v>
      </c>
      <c r="I332" s="10" t="s">
        <v>58</v>
      </c>
      <c r="J332" s="10" t="s">
        <v>150</v>
      </c>
      <c r="K332" s="10">
        <v>3</v>
      </c>
      <c r="L332" s="12">
        <v>136.5</v>
      </c>
      <c r="M332" s="12">
        <v>65</v>
      </c>
      <c r="N332" s="13">
        <v>0</v>
      </c>
    </row>
    <row r="333" spans="1:14">
      <c r="A333" s="10" t="s">
        <v>184</v>
      </c>
      <c r="B333" s="11">
        <v>46186</v>
      </c>
      <c r="C333" s="10" t="s">
        <v>34</v>
      </c>
      <c r="D333" s="10" t="s">
        <v>35</v>
      </c>
      <c r="E333" s="10" t="s">
        <v>36</v>
      </c>
      <c r="F333" s="10" t="s">
        <v>178</v>
      </c>
      <c r="G333" s="10" t="s">
        <v>108</v>
      </c>
      <c r="H333" s="10" t="s">
        <v>109</v>
      </c>
      <c r="I333" s="10" t="s">
        <v>58</v>
      </c>
      <c r="J333" s="10" t="s">
        <v>151</v>
      </c>
      <c r="K333" s="10">
        <v>4</v>
      </c>
      <c r="L333" s="12">
        <v>650</v>
      </c>
      <c r="M333" s="12">
        <v>430</v>
      </c>
      <c r="N333" s="13">
        <v>0</v>
      </c>
    </row>
    <row r="334" spans="1:14">
      <c r="A334" s="10" t="s">
        <v>442</v>
      </c>
      <c r="B334" s="11">
        <v>46096</v>
      </c>
      <c r="C334" s="10" t="s">
        <v>51</v>
      </c>
      <c r="D334" s="10" t="s">
        <v>551</v>
      </c>
      <c r="E334" s="10" t="s">
        <v>50</v>
      </c>
      <c r="F334" s="10" t="s">
        <v>178</v>
      </c>
      <c r="G334" s="10" t="s">
        <v>102</v>
      </c>
      <c r="H334" s="10" t="s">
        <v>103</v>
      </c>
      <c r="I334" s="10" t="s">
        <v>58</v>
      </c>
      <c r="J334" s="10" t="s">
        <v>151</v>
      </c>
      <c r="K334" s="10">
        <v>1</v>
      </c>
      <c r="L334" s="12">
        <v>130</v>
      </c>
      <c r="M334" s="12">
        <v>65</v>
      </c>
      <c r="N334" s="13">
        <v>0</v>
      </c>
    </row>
    <row r="335" spans="1:14">
      <c r="A335" s="10" t="s">
        <v>335</v>
      </c>
      <c r="B335" s="11">
        <v>46133</v>
      </c>
      <c r="C335" s="10" t="s">
        <v>39</v>
      </c>
      <c r="D335" s="10" t="s">
        <v>40</v>
      </c>
      <c r="E335" s="10" t="s">
        <v>36</v>
      </c>
      <c r="F335" s="10" t="s">
        <v>171</v>
      </c>
      <c r="G335" s="10" t="s">
        <v>120</v>
      </c>
      <c r="H335" s="10" t="s">
        <v>121</v>
      </c>
      <c r="I335" s="10" t="s">
        <v>58</v>
      </c>
      <c r="J335" s="10" t="s">
        <v>153</v>
      </c>
      <c r="K335" s="10">
        <v>2</v>
      </c>
      <c r="L335" s="12">
        <v>247</v>
      </c>
      <c r="M335" s="12">
        <v>155</v>
      </c>
      <c r="N335" s="13">
        <v>0.15</v>
      </c>
    </row>
    <row r="336" spans="1:14">
      <c r="A336" s="10" t="s">
        <v>292</v>
      </c>
      <c r="B336" s="11">
        <v>46148</v>
      </c>
      <c r="C336" s="10" t="s">
        <v>46</v>
      </c>
      <c r="D336" s="10" t="s">
        <v>47</v>
      </c>
      <c r="E336" s="10" t="s">
        <v>43</v>
      </c>
      <c r="F336" s="10" t="s">
        <v>173</v>
      </c>
      <c r="G336" s="10" t="s">
        <v>68</v>
      </c>
      <c r="H336" s="10" t="s">
        <v>69</v>
      </c>
      <c r="I336" s="10" t="s">
        <v>63</v>
      </c>
      <c r="J336" s="10" t="s">
        <v>151</v>
      </c>
      <c r="K336" s="10">
        <v>12</v>
      </c>
      <c r="L336" s="12">
        <v>52.25</v>
      </c>
      <c r="M336" s="12">
        <v>22</v>
      </c>
      <c r="N336" s="13">
        <v>0.05</v>
      </c>
    </row>
    <row r="337" spans="1:14">
      <c r="A337" s="10" t="s">
        <v>449</v>
      </c>
      <c r="B337" s="11">
        <v>46047</v>
      </c>
      <c r="C337" s="10" t="s">
        <v>41</v>
      </c>
      <c r="D337" s="10" t="s">
        <v>42</v>
      </c>
      <c r="E337" s="10" t="s">
        <v>43</v>
      </c>
      <c r="F337" s="10" t="s">
        <v>175</v>
      </c>
      <c r="G337" s="10" t="s">
        <v>92</v>
      </c>
      <c r="H337" s="10" t="s">
        <v>93</v>
      </c>
      <c r="I337" s="10" t="s">
        <v>63</v>
      </c>
      <c r="J337" s="10" t="s">
        <v>153</v>
      </c>
      <c r="K337" s="10">
        <v>4</v>
      </c>
      <c r="L337" s="12">
        <v>35</v>
      </c>
      <c r="M337" s="12">
        <v>14</v>
      </c>
      <c r="N337" s="13">
        <v>0.15</v>
      </c>
    </row>
    <row r="338" spans="1:14">
      <c r="A338" s="10" t="s">
        <v>343</v>
      </c>
      <c r="B338" s="11">
        <v>46137</v>
      </c>
      <c r="C338" s="10" t="s">
        <v>51</v>
      </c>
      <c r="D338" s="10" t="s">
        <v>52</v>
      </c>
      <c r="E338" s="10" t="s">
        <v>50</v>
      </c>
      <c r="F338" s="10" t="s">
        <v>171</v>
      </c>
      <c r="G338" s="10" t="s">
        <v>122</v>
      </c>
      <c r="H338" s="10" t="s">
        <v>123</v>
      </c>
      <c r="I338" s="10" t="s">
        <v>63</v>
      </c>
      <c r="J338" s="10" t="s">
        <v>152</v>
      </c>
      <c r="K338" s="10">
        <v>3</v>
      </c>
      <c r="L338" s="12">
        <v>136.5</v>
      </c>
      <c r="M338" s="12">
        <v>65</v>
      </c>
      <c r="N338" s="13">
        <v>0.1</v>
      </c>
    </row>
    <row r="339" spans="1:14">
      <c r="A339" s="10" t="s">
        <v>508</v>
      </c>
      <c r="B339" s="11">
        <v>46121</v>
      </c>
      <c r="C339" s="10" t="s">
        <v>44</v>
      </c>
      <c r="D339" s="10" t="s">
        <v>45</v>
      </c>
      <c r="E339" s="10" t="s">
        <v>43</v>
      </c>
      <c r="F339" s="10" t="s">
        <v>540</v>
      </c>
      <c r="G339" s="10" t="s">
        <v>114</v>
      </c>
      <c r="H339" s="10" t="s">
        <v>115</v>
      </c>
      <c r="I339" s="10" t="s">
        <v>58</v>
      </c>
      <c r="J339" s="10" t="s">
        <v>153</v>
      </c>
      <c r="K339" s="10">
        <v>2</v>
      </c>
      <c r="L339" s="12">
        <v>20</v>
      </c>
      <c r="M339" s="12">
        <v>7</v>
      </c>
      <c r="N339" s="13">
        <v>0.05</v>
      </c>
    </row>
    <row r="340" spans="1:14">
      <c r="A340" s="10" t="s">
        <v>493</v>
      </c>
      <c r="B340" s="11">
        <v>46191</v>
      </c>
      <c r="C340" s="10" t="s">
        <v>44</v>
      </c>
      <c r="D340" s="10" t="s">
        <v>45</v>
      </c>
      <c r="E340" s="10" t="s">
        <v>43</v>
      </c>
      <c r="F340" s="10" t="s">
        <v>173</v>
      </c>
      <c r="G340" s="10" t="s">
        <v>78</v>
      </c>
      <c r="H340" s="10" t="s">
        <v>79</v>
      </c>
      <c r="I340" s="10" t="s">
        <v>58</v>
      </c>
      <c r="J340" s="10" t="s">
        <v>150</v>
      </c>
      <c r="K340" s="10">
        <v>3</v>
      </c>
      <c r="L340" s="12">
        <v>20</v>
      </c>
      <c r="M340" s="12">
        <v>7</v>
      </c>
      <c r="N340" s="13">
        <v>0.05</v>
      </c>
    </row>
    <row r="341" spans="1:14">
      <c r="A341" s="10" t="s">
        <v>490</v>
      </c>
      <c r="B341" s="11">
        <v>46161</v>
      </c>
      <c r="C341" s="10" t="s">
        <v>44</v>
      </c>
      <c r="D341" s="10" t="s">
        <v>45</v>
      </c>
      <c r="E341" s="10" t="s">
        <v>43</v>
      </c>
      <c r="F341" s="10" t="s">
        <v>175</v>
      </c>
      <c r="G341" s="10" t="s">
        <v>86</v>
      </c>
      <c r="H341" s="10" t="s">
        <v>87</v>
      </c>
      <c r="I341" s="10" t="s">
        <v>63</v>
      </c>
      <c r="J341" s="10" t="s">
        <v>150</v>
      </c>
      <c r="K341" s="10">
        <v>3</v>
      </c>
      <c r="L341" s="12">
        <v>20</v>
      </c>
      <c r="M341" s="12">
        <v>7</v>
      </c>
      <c r="N341" s="13">
        <v>0</v>
      </c>
    </row>
    <row r="342" spans="1:14">
      <c r="A342" s="10" t="s">
        <v>301</v>
      </c>
      <c r="B342" s="11">
        <v>46116</v>
      </c>
      <c r="C342" s="10" t="s">
        <v>37</v>
      </c>
      <c r="D342" s="10" t="s">
        <v>38</v>
      </c>
      <c r="E342" s="10" t="s">
        <v>36</v>
      </c>
      <c r="F342" s="10" t="s">
        <v>175</v>
      </c>
      <c r="G342" s="10" t="s">
        <v>96</v>
      </c>
      <c r="H342" s="10" t="s">
        <v>97</v>
      </c>
      <c r="I342" s="10" t="s">
        <v>58</v>
      </c>
      <c r="J342" s="10" t="s">
        <v>152</v>
      </c>
      <c r="K342" s="10">
        <v>3</v>
      </c>
      <c r="L342" s="12">
        <v>180</v>
      </c>
      <c r="M342" s="12">
        <v>95</v>
      </c>
      <c r="N342" s="13">
        <v>0</v>
      </c>
    </row>
    <row r="343" spans="1:14">
      <c r="A343" s="10" t="s">
        <v>375</v>
      </c>
      <c r="B343" s="11">
        <v>46097</v>
      </c>
      <c r="C343" s="10" t="s">
        <v>46</v>
      </c>
      <c r="D343" s="10" t="s">
        <v>47</v>
      </c>
      <c r="E343" s="10" t="s">
        <v>43</v>
      </c>
      <c r="F343" s="10" t="s">
        <v>173</v>
      </c>
      <c r="G343" s="10" t="s">
        <v>61</v>
      </c>
      <c r="H343" s="10" t="s">
        <v>62</v>
      </c>
      <c r="I343" s="10" t="s">
        <v>63</v>
      </c>
      <c r="J343" s="10" t="s">
        <v>150</v>
      </c>
      <c r="K343" s="10">
        <v>5</v>
      </c>
      <c r="L343" s="12">
        <v>55</v>
      </c>
      <c r="M343" s="12">
        <v>22</v>
      </c>
      <c r="N343" s="13">
        <v>0.05</v>
      </c>
    </row>
    <row r="344" spans="1:14">
      <c r="A344" s="10" t="s">
        <v>266</v>
      </c>
      <c r="B344" s="11">
        <v>46128</v>
      </c>
      <c r="C344" s="10" t="s">
        <v>51</v>
      </c>
      <c r="D344" s="10" t="s">
        <v>52</v>
      </c>
      <c r="E344" s="10" t="s">
        <v>50</v>
      </c>
      <c r="F344" s="10" t="s">
        <v>178</v>
      </c>
      <c r="G344" s="10" t="s">
        <v>86</v>
      </c>
      <c r="H344" s="10" t="s">
        <v>87</v>
      </c>
      <c r="I344" s="10" t="s">
        <v>63</v>
      </c>
      <c r="J344" s="10" t="s">
        <v>150</v>
      </c>
      <c r="K344" s="10">
        <v>6</v>
      </c>
      <c r="L344" s="12">
        <v>130</v>
      </c>
      <c r="M344" s="12">
        <v>65</v>
      </c>
      <c r="N344" s="13">
        <v>0.05</v>
      </c>
    </row>
    <row r="345" spans="1:14">
      <c r="A345" s="10" t="s">
        <v>349</v>
      </c>
      <c r="B345" s="11">
        <v>46110</v>
      </c>
      <c r="C345" s="10" t="s">
        <v>51</v>
      </c>
      <c r="D345" s="10" t="s">
        <v>52</v>
      </c>
      <c r="E345" s="10" t="s">
        <v>50</v>
      </c>
      <c r="F345" s="10" t="s">
        <v>173</v>
      </c>
      <c r="G345" s="10" t="s">
        <v>88</v>
      </c>
      <c r="H345" s="10" t="s">
        <v>89</v>
      </c>
      <c r="I345" s="10" t="s">
        <v>58</v>
      </c>
      <c r="J345" s="10" t="s">
        <v>151</v>
      </c>
      <c r="K345" s="10">
        <v>3</v>
      </c>
      <c r="L345" s="12">
        <v>130</v>
      </c>
      <c r="M345" s="12">
        <v>65</v>
      </c>
      <c r="N345" s="13">
        <v>0.1</v>
      </c>
    </row>
    <row r="346" spans="1:14">
      <c r="A346" s="10" t="s">
        <v>503</v>
      </c>
      <c r="B346" s="11">
        <v>46036</v>
      </c>
      <c r="C346" s="10" t="s">
        <v>46</v>
      </c>
      <c r="D346" s="10" t="s">
        <v>47</v>
      </c>
      <c r="E346" s="10" t="s">
        <v>43</v>
      </c>
      <c r="F346" s="10" t="s">
        <v>178</v>
      </c>
      <c r="G346" s="10" t="s">
        <v>66</v>
      </c>
      <c r="H346" s="10" t="s">
        <v>67</v>
      </c>
      <c r="I346" s="10" t="s">
        <v>58</v>
      </c>
      <c r="J346" s="10" t="s">
        <v>151</v>
      </c>
      <c r="K346" s="10">
        <v>1</v>
      </c>
      <c r="L346" s="12">
        <v>55</v>
      </c>
      <c r="M346" s="12">
        <v>22</v>
      </c>
      <c r="N346" s="13">
        <v>0.1</v>
      </c>
    </row>
    <row r="347" spans="1:14">
      <c r="A347" s="10" t="s">
        <v>503</v>
      </c>
      <c r="B347" s="11">
        <v>46036</v>
      </c>
      <c r="C347" s="10" t="s">
        <v>46</v>
      </c>
      <c r="D347" s="10" t="s">
        <v>47</v>
      </c>
      <c r="E347" s="10" t="s">
        <v>43</v>
      </c>
      <c r="F347" s="10" t="s">
        <v>178</v>
      </c>
      <c r="G347" s="10" t="s">
        <v>66</v>
      </c>
      <c r="H347" s="10" t="s">
        <v>67</v>
      </c>
      <c r="I347" s="10" t="s">
        <v>58</v>
      </c>
      <c r="J347" s="10" t="s">
        <v>151</v>
      </c>
      <c r="K347" s="10">
        <v>1</v>
      </c>
      <c r="L347" s="12">
        <v>55</v>
      </c>
      <c r="M347" s="12">
        <v>22</v>
      </c>
      <c r="N347" s="13">
        <v>0.1</v>
      </c>
    </row>
    <row r="348" spans="1:14">
      <c r="A348" s="10" t="s">
        <v>233</v>
      </c>
      <c r="B348" s="11">
        <v>46155</v>
      </c>
      <c r="C348" s="10" t="s">
        <v>34</v>
      </c>
      <c r="D348" s="10" t="s">
        <v>35</v>
      </c>
      <c r="E348" s="10" t="s">
        <v>36</v>
      </c>
      <c r="F348" s="10" t="s">
        <v>171</v>
      </c>
      <c r="G348" s="10" t="s">
        <v>64</v>
      </c>
      <c r="H348" s="10" t="s">
        <v>65</v>
      </c>
      <c r="I348" s="10" t="s">
        <v>58</v>
      </c>
      <c r="J348" s="10" t="s">
        <v>150</v>
      </c>
      <c r="K348" s="10">
        <v>2</v>
      </c>
      <c r="L348" s="12">
        <v>617.5</v>
      </c>
      <c r="M348" s="12">
        <v>430</v>
      </c>
      <c r="N348" s="13">
        <v>0</v>
      </c>
    </row>
    <row r="349" spans="1:14">
      <c r="A349" s="10" t="s">
        <v>476</v>
      </c>
      <c r="B349" s="11">
        <v>46040</v>
      </c>
      <c r="C349" s="10" t="s">
        <v>44</v>
      </c>
      <c r="D349" s="10" t="s">
        <v>45</v>
      </c>
      <c r="E349" s="10" t="s">
        <v>43</v>
      </c>
      <c r="F349" s="10" t="s">
        <v>178</v>
      </c>
      <c r="G349" s="10" t="s">
        <v>72</v>
      </c>
      <c r="H349" s="10" t="s">
        <v>73</v>
      </c>
      <c r="I349" s="10" t="s">
        <v>58</v>
      </c>
      <c r="J349" s="10" t="s">
        <v>153</v>
      </c>
      <c r="K349" s="10">
        <v>4</v>
      </c>
      <c r="L349" s="12">
        <v>20</v>
      </c>
      <c r="M349" s="12">
        <v>7</v>
      </c>
      <c r="N349" s="13">
        <v>0</v>
      </c>
    </row>
    <row r="350" spans="1:14">
      <c r="A350" s="10" t="s">
        <v>380</v>
      </c>
      <c r="B350" s="11">
        <v>46062</v>
      </c>
      <c r="C350" s="10" t="s">
        <v>51</v>
      </c>
      <c r="D350" s="10" t="s">
        <v>52</v>
      </c>
      <c r="E350" s="10" t="s">
        <v>50</v>
      </c>
      <c r="F350" s="10" t="s">
        <v>175</v>
      </c>
      <c r="G350" s="10" t="s">
        <v>120</v>
      </c>
      <c r="H350" s="10" t="s">
        <v>121</v>
      </c>
      <c r="I350" s="10" t="s">
        <v>58</v>
      </c>
      <c r="J350" s="10" t="s">
        <v>150</v>
      </c>
      <c r="K350" s="10">
        <v>2</v>
      </c>
      <c r="L350" s="12">
        <v>130</v>
      </c>
      <c r="M350" s="12">
        <v>65</v>
      </c>
      <c r="N350" s="13">
        <v>0</v>
      </c>
    </row>
    <row r="351" spans="1:14">
      <c r="A351" s="10" t="s">
        <v>357</v>
      </c>
      <c r="B351" s="11">
        <v>46160</v>
      </c>
      <c r="C351" s="10" t="s">
        <v>46</v>
      </c>
      <c r="D351" s="10" t="s">
        <v>47</v>
      </c>
      <c r="E351" s="10" t="s">
        <v>43</v>
      </c>
      <c r="F351" s="10" t="s">
        <v>178</v>
      </c>
      <c r="G351" s="10" t="s">
        <v>104</v>
      </c>
      <c r="H351" s="10" t="s">
        <v>105</v>
      </c>
      <c r="I351" s="10" t="s">
        <v>63</v>
      </c>
      <c r="J351" s="10" t="s">
        <v>153</v>
      </c>
      <c r="K351" s="10">
        <v>6</v>
      </c>
      <c r="L351" s="12">
        <v>55</v>
      </c>
      <c r="M351" s="12">
        <v>22</v>
      </c>
      <c r="N351" s="13">
        <v>0</v>
      </c>
    </row>
    <row r="352" spans="1:14">
      <c r="A352" s="10" t="s">
        <v>290</v>
      </c>
      <c r="B352" s="11">
        <v>46070</v>
      </c>
      <c r="C352" s="10" t="s">
        <v>48</v>
      </c>
      <c r="D352" s="10" t="s">
        <v>49</v>
      </c>
      <c r="E352" s="10" t="s">
        <v>50</v>
      </c>
      <c r="F352" s="10" t="s">
        <v>171</v>
      </c>
      <c r="G352" s="10" t="s">
        <v>84</v>
      </c>
      <c r="H352" s="10" t="s">
        <v>85</v>
      </c>
      <c r="I352" s="10" t="s">
        <v>58</v>
      </c>
      <c r="J352" s="10" t="s">
        <v>150</v>
      </c>
      <c r="K352" s="10">
        <v>4</v>
      </c>
      <c r="L352" s="12">
        <v>178.5</v>
      </c>
      <c r="M352" s="12">
        <v>95</v>
      </c>
      <c r="N352" s="13">
        <v>0.15</v>
      </c>
    </row>
    <row r="353" spans="1:14">
      <c r="A353" s="10" t="s">
        <v>422</v>
      </c>
      <c r="B353" s="11">
        <v>46088</v>
      </c>
      <c r="C353" s="10" t="s">
        <v>44</v>
      </c>
      <c r="D353" s="10" t="s">
        <v>45</v>
      </c>
      <c r="E353" s="10" t="s">
        <v>43</v>
      </c>
      <c r="F353" s="10" t="s">
        <v>171</v>
      </c>
      <c r="G353" s="10" t="s">
        <v>80</v>
      </c>
      <c r="H353" s="10" t="s">
        <v>81</v>
      </c>
      <c r="I353" s="10" t="s">
        <v>63</v>
      </c>
      <c r="J353" s="10" t="s">
        <v>151</v>
      </c>
      <c r="K353" s="10">
        <v>8</v>
      </c>
      <c r="L353" s="12">
        <v>20</v>
      </c>
      <c r="M353" s="12">
        <v>7</v>
      </c>
      <c r="N353" s="13">
        <v>0</v>
      </c>
    </row>
    <row r="354" spans="1:14">
      <c r="A354" s="10" t="s">
        <v>509</v>
      </c>
      <c r="B354" s="11">
        <v>46063</v>
      </c>
      <c r="C354" s="10" t="s">
        <v>44</v>
      </c>
      <c r="D354" s="10" t="s">
        <v>45</v>
      </c>
      <c r="E354" s="10" t="s">
        <v>43</v>
      </c>
      <c r="F354" s="10" t="s">
        <v>173</v>
      </c>
      <c r="G354" s="10" t="s">
        <v>128</v>
      </c>
      <c r="H354" s="10"/>
      <c r="I354" s="10" t="s">
        <v>63</v>
      </c>
      <c r="J354" s="10" t="s">
        <v>153</v>
      </c>
      <c r="K354" s="10">
        <v>2</v>
      </c>
      <c r="L354" s="12">
        <v>20</v>
      </c>
      <c r="M354" s="12">
        <v>7</v>
      </c>
      <c r="N354" s="13">
        <v>0.05</v>
      </c>
    </row>
    <row r="355" spans="1:14">
      <c r="A355" s="10" t="s">
        <v>410</v>
      </c>
      <c r="B355" s="11">
        <v>46035</v>
      </c>
      <c r="C355" s="10" t="s">
        <v>48</v>
      </c>
      <c r="D355" s="10" t="s">
        <v>49</v>
      </c>
      <c r="E355" s="10" t="s">
        <v>50</v>
      </c>
      <c r="F355" s="10" t="s">
        <v>175</v>
      </c>
      <c r="G355" s="10" t="s">
        <v>112</v>
      </c>
      <c r="H355" s="10" t="s">
        <v>113</v>
      </c>
      <c r="I355" s="10" t="s">
        <v>58</v>
      </c>
      <c r="J355" s="10" t="s">
        <v>151</v>
      </c>
      <c r="K355" s="10">
        <v>1</v>
      </c>
      <c r="L355" s="12">
        <v>178.5</v>
      </c>
      <c r="M355" s="12">
        <v>95</v>
      </c>
      <c r="N355" s="13">
        <v>0</v>
      </c>
    </row>
    <row r="356" spans="1:14">
      <c r="A356" s="10" t="s">
        <v>250</v>
      </c>
      <c r="B356" s="11">
        <v>46034</v>
      </c>
      <c r="C356" s="10" t="s">
        <v>39</v>
      </c>
      <c r="D356" s="10" t="s">
        <v>40</v>
      </c>
      <c r="E356" s="10" t="s">
        <v>36</v>
      </c>
      <c r="F356" s="10" t="s">
        <v>175</v>
      </c>
      <c r="G356" s="10" t="s">
        <v>59</v>
      </c>
      <c r="H356" s="10" t="s">
        <v>60</v>
      </c>
      <c r="I356" s="10" t="s">
        <v>58</v>
      </c>
      <c r="J356" s="10" t="s">
        <v>152</v>
      </c>
      <c r="K356" s="10">
        <v>4</v>
      </c>
      <c r="L356" s="12">
        <v>247</v>
      </c>
      <c r="M356" s="12">
        <v>155</v>
      </c>
      <c r="N356" s="13">
        <v>0</v>
      </c>
    </row>
    <row r="357" spans="1:14">
      <c r="A357" s="10" t="s">
        <v>464</v>
      </c>
      <c r="B357" s="11">
        <v>46151</v>
      </c>
      <c r="C357" s="10" t="s">
        <v>46</v>
      </c>
      <c r="D357" s="10" t="s">
        <v>47</v>
      </c>
      <c r="E357" s="10" t="s">
        <v>43</v>
      </c>
      <c r="F357" s="10" t="s">
        <v>178</v>
      </c>
      <c r="G357" s="10" t="s">
        <v>96</v>
      </c>
      <c r="H357" s="10" t="s">
        <v>97</v>
      </c>
      <c r="I357" s="10" t="s">
        <v>58</v>
      </c>
      <c r="J357" s="10" t="s">
        <v>153</v>
      </c>
      <c r="K357" s="10">
        <v>2</v>
      </c>
      <c r="L357" s="12">
        <v>55</v>
      </c>
      <c r="M357" s="12">
        <v>22</v>
      </c>
      <c r="N357" s="13">
        <v>0.1</v>
      </c>
    </row>
    <row r="358" spans="1:14">
      <c r="A358" s="10" t="s">
        <v>350</v>
      </c>
      <c r="B358" s="11">
        <v>46088</v>
      </c>
      <c r="C358" s="10" t="s">
        <v>51</v>
      </c>
      <c r="D358" s="10" t="s">
        <v>52</v>
      </c>
      <c r="E358" s="10" t="s">
        <v>50</v>
      </c>
      <c r="F358" s="10" t="s">
        <v>178</v>
      </c>
      <c r="G358" s="10" t="s">
        <v>56</v>
      </c>
      <c r="H358" s="10" t="s">
        <v>57</v>
      </c>
      <c r="I358" s="10" t="s">
        <v>58</v>
      </c>
      <c r="J358" s="10" t="s">
        <v>150</v>
      </c>
      <c r="K358" s="10">
        <v>3</v>
      </c>
      <c r="L358" s="12">
        <v>130</v>
      </c>
      <c r="M358" s="12">
        <v>65</v>
      </c>
      <c r="N358" s="13">
        <v>0.1</v>
      </c>
    </row>
    <row r="359" spans="1:14">
      <c r="A359" s="10" t="s">
        <v>207</v>
      </c>
      <c r="B359" s="11">
        <v>46039</v>
      </c>
      <c r="C359" s="10" t="s">
        <v>37</v>
      </c>
      <c r="D359" s="10" t="s">
        <v>38</v>
      </c>
      <c r="E359" s="10" t="s">
        <v>36</v>
      </c>
      <c r="F359" s="10" t="s">
        <v>178</v>
      </c>
      <c r="G359" s="10" t="s">
        <v>134</v>
      </c>
      <c r="H359" s="10" t="s">
        <v>135</v>
      </c>
      <c r="I359" s="10" t="s">
        <v>63</v>
      </c>
      <c r="J359" s="10" t="s">
        <v>151</v>
      </c>
      <c r="K359" s="10">
        <v>9</v>
      </c>
      <c r="L359" s="12">
        <v>189</v>
      </c>
      <c r="M359" s="12">
        <v>95</v>
      </c>
      <c r="N359" s="13">
        <v>0</v>
      </c>
    </row>
    <row r="360" spans="1:14">
      <c r="A360" s="10" t="s">
        <v>269</v>
      </c>
      <c r="B360" s="11">
        <v>46143</v>
      </c>
      <c r="C360" s="10" t="s">
        <v>37</v>
      </c>
      <c r="D360" s="10" t="s">
        <v>38</v>
      </c>
      <c r="E360" s="10" t="s">
        <v>36</v>
      </c>
      <c r="F360" s="10" t="s">
        <v>175</v>
      </c>
      <c r="G360" s="10" t="s">
        <v>98</v>
      </c>
      <c r="H360" s="10" t="s">
        <v>99</v>
      </c>
      <c r="I360" s="10" t="s">
        <v>63</v>
      </c>
      <c r="J360" s="10" t="s">
        <v>151</v>
      </c>
      <c r="K360" s="10">
        <v>4</v>
      </c>
      <c r="L360" s="12">
        <v>180</v>
      </c>
      <c r="M360" s="12">
        <v>95</v>
      </c>
      <c r="N360" s="13">
        <v>0</v>
      </c>
    </row>
    <row r="361" spans="1:14">
      <c r="A361" s="10" t="s">
        <v>186</v>
      </c>
      <c r="B361" s="11">
        <v>46199</v>
      </c>
      <c r="C361" s="10" t="s">
        <v>34</v>
      </c>
      <c r="D361" s="10" t="s">
        <v>35</v>
      </c>
      <c r="E361" s="10" t="s">
        <v>36</v>
      </c>
      <c r="F361" s="10" t="s">
        <v>173</v>
      </c>
      <c r="G361" s="10" t="s">
        <v>124</v>
      </c>
      <c r="H361" s="10" t="s">
        <v>125</v>
      </c>
      <c r="I361" s="10" t="s">
        <v>58</v>
      </c>
      <c r="J361" s="10" t="s">
        <v>150</v>
      </c>
      <c r="K361" s="10">
        <v>4</v>
      </c>
      <c r="L361" s="12">
        <v>650</v>
      </c>
      <c r="M361" s="12">
        <v>430</v>
      </c>
      <c r="N361" s="13">
        <v>0.05</v>
      </c>
    </row>
    <row r="362" spans="1:14">
      <c r="A362" s="10" t="s">
        <v>179</v>
      </c>
      <c r="B362" s="11">
        <v>46115</v>
      </c>
      <c r="C362" s="10" t="s">
        <v>34</v>
      </c>
      <c r="D362" s="10" t="s">
        <v>35</v>
      </c>
      <c r="E362" s="10" t="s">
        <v>36</v>
      </c>
      <c r="F362" s="10" t="s">
        <v>173</v>
      </c>
      <c r="G362" s="10" t="s">
        <v>104</v>
      </c>
      <c r="H362" s="10" t="s">
        <v>105</v>
      </c>
      <c r="I362" s="10" t="s">
        <v>63</v>
      </c>
      <c r="J362" s="10" t="s">
        <v>150</v>
      </c>
      <c r="K362" s="10">
        <v>7</v>
      </c>
      <c r="L362" s="12">
        <v>617.5</v>
      </c>
      <c r="M362" s="12">
        <v>430</v>
      </c>
      <c r="N362" s="13">
        <v>0.05</v>
      </c>
    </row>
    <row r="363" spans="1:14">
      <c r="A363" s="10" t="s">
        <v>339</v>
      </c>
      <c r="B363" s="11">
        <v>46090</v>
      </c>
      <c r="C363" s="10" t="s">
        <v>51</v>
      </c>
      <c r="D363" s="10" t="s">
        <v>52</v>
      </c>
      <c r="E363" s="10" t="s">
        <v>50</v>
      </c>
      <c r="F363" s="10" t="s">
        <v>171</v>
      </c>
      <c r="G363" s="10" t="s">
        <v>70</v>
      </c>
      <c r="H363" s="10" t="s">
        <v>71</v>
      </c>
      <c r="I363" s="10" t="s">
        <v>58</v>
      </c>
      <c r="J363" s="10" t="s">
        <v>153</v>
      </c>
      <c r="K363" s="10">
        <v>3</v>
      </c>
      <c r="L363" s="12">
        <v>130</v>
      </c>
      <c r="M363" s="12">
        <v>65</v>
      </c>
      <c r="N363" s="13">
        <v>0</v>
      </c>
    </row>
    <row r="364" spans="1:14">
      <c r="A364" s="10" t="s">
        <v>527</v>
      </c>
      <c r="B364" s="11">
        <v>46192</v>
      </c>
      <c r="C364" s="10" t="s">
        <v>44</v>
      </c>
      <c r="D364" s="10" t="s">
        <v>45</v>
      </c>
      <c r="E364" s="10" t="s">
        <v>43</v>
      </c>
      <c r="F364" s="10" t="s">
        <v>173</v>
      </c>
      <c r="G364" s="10" t="s">
        <v>64</v>
      </c>
      <c r="H364" s="10" t="s">
        <v>65</v>
      </c>
      <c r="I364" s="10" t="s">
        <v>58</v>
      </c>
      <c r="J364" s="10" t="s">
        <v>150</v>
      </c>
      <c r="K364" s="10">
        <v>1</v>
      </c>
      <c r="L364" s="12">
        <v>19</v>
      </c>
      <c r="M364" s="12">
        <v>7</v>
      </c>
      <c r="N364" s="13">
        <v>0</v>
      </c>
    </row>
    <row r="365" spans="1:14">
      <c r="A365" s="10" t="s">
        <v>223</v>
      </c>
      <c r="B365" s="11">
        <v>46027</v>
      </c>
      <c r="C365" s="10" t="s">
        <v>51</v>
      </c>
      <c r="D365" s="10" t="s">
        <v>52</v>
      </c>
      <c r="E365" s="10" t="s">
        <v>50</v>
      </c>
      <c r="F365" s="10" t="s">
        <v>171</v>
      </c>
      <c r="G365" s="10" t="s">
        <v>92</v>
      </c>
      <c r="H365" s="10" t="s">
        <v>93</v>
      </c>
      <c r="I365" s="10" t="s">
        <v>63</v>
      </c>
      <c r="J365" s="10" t="s">
        <v>152</v>
      </c>
      <c r="K365" s="10">
        <v>12</v>
      </c>
      <c r="L365" s="12">
        <v>130</v>
      </c>
      <c r="M365" s="12">
        <v>65</v>
      </c>
      <c r="N365" s="13">
        <v>0.15</v>
      </c>
    </row>
    <row r="366" spans="1:14">
      <c r="A366" s="10" t="s">
        <v>427</v>
      </c>
      <c r="B366" s="11">
        <v>46139</v>
      </c>
      <c r="C366" s="10" t="s">
        <v>48</v>
      </c>
      <c r="D366" s="10" t="s">
        <v>49</v>
      </c>
      <c r="E366" s="10" t="s">
        <v>50</v>
      </c>
      <c r="F366" s="10" t="s">
        <v>175</v>
      </c>
      <c r="G366" s="10" t="s">
        <v>94</v>
      </c>
      <c r="H366" s="10" t="s">
        <v>95</v>
      </c>
      <c r="I366" s="10" t="s">
        <v>58</v>
      </c>
      <c r="J366" s="10" t="s">
        <v>152</v>
      </c>
      <c r="K366" s="10">
        <v>1</v>
      </c>
      <c r="L366" s="12">
        <v>170</v>
      </c>
      <c r="M366" s="12">
        <v>95</v>
      </c>
      <c r="N366" s="13">
        <v>0.1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zoomScale="69" workbookViewId="0">
      <pane ySplit="1" topLeftCell="A2" activePane="bottomLeft" state="frozen"/>
      <selection pane="bottomLeft" activeCell="E18" sqref="E18"/>
    </sheetView>
  </sheetViews>
  <sheetFormatPr defaultColWidth="8.85546875" defaultRowHeight="15"/>
  <cols>
    <col min="1" max="1" width="22" customWidth="1"/>
    <col min="2" max="2" width="39.140625" bestFit="1" customWidth="1"/>
    <col min="3" max="3" width="46.42578125" bestFit="1" customWidth="1"/>
    <col min="4" max="4" width="101.85546875" customWidth="1"/>
    <col min="5" max="5" width="131.140625" bestFit="1" customWidth="1"/>
  </cols>
  <sheetData>
    <row r="1" spans="1:5" ht="32.1" customHeight="1">
      <c r="A1" s="1" t="s">
        <v>553</v>
      </c>
      <c r="B1" s="1" t="s">
        <v>554</v>
      </c>
      <c r="C1" s="1" t="s">
        <v>555</v>
      </c>
      <c r="D1" s="1" t="s">
        <v>556</v>
      </c>
      <c r="E1" s="1" t="s">
        <v>557</v>
      </c>
    </row>
    <row r="2" spans="1:5">
      <c r="A2" s="7" t="s">
        <v>32</v>
      </c>
      <c r="B2" s="7" t="s">
        <v>558</v>
      </c>
      <c r="C2" s="7" t="s">
        <v>478</v>
      </c>
      <c r="D2" s="7" t="s">
        <v>559</v>
      </c>
      <c r="E2" s="7" t="s">
        <v>560</v>
      </c>
    </row>
    <row r="3" spans="1:5">
      <c r="A3" s="7" t="s">
        <v>54</v>
      </c>
      <c r="B3" s="7" t="s">
        <v>558</v>
      </c>
      <c r="C3" s="7" t="s">
        <v>470</v>
      </c>
      <c r="D3" s="7" t="s">
        <v>561</v>
      </c>
      <c r="E3" s="7" t="s">
        <v>562</v>
      </c>
    </row>
    <row r="4" spans="1:5">
      <c r="A4" s="7" t="s">
        <v>166</v>
      </c>
      <c r="B4" s="7" t="s">
        <v>563</v>
      </c>
      <c r="C4" s="7" t="s">
        <v>338</v>
      </c>
      <c r="D4" s="7" t="s">
        <v>564</v>
      </c>
      <c r="E4" s="7" t="s">
        <v>565</v>
      </c>
    </row>
    <row r="5" spans="1:5">
      <c r="A5" s="7" t="s">
        <v>164</v>
      </c>
      <c r="B5" s="7" t="s">
        <v>566</v>
      </c>
      <c r="C5" s="7" t="s">
        <v>552</v>
      </c>
      <c r="D5" s="7" t="s">
        <v>567</v>
      </c>
      <c r="E5" s="7" t="s">
        <v>568</v>
      </c>
    </row>
    <row r="6" spans="1:5">
      <c r="A6" s="7" t="s">
        <v>163</v>
      </c>
      <c r="B6" s="7" t="s">
        <v>566</v>
      </c>
      <c r="C6" s="7" t="s">
        <v>258</v>
      </c>
      <c r="D6" s="7" t="s">
        <v>569</v>
      </c>
      <c r="E6" s="7" t="s">
        <v>570</v>
      </c>
    </row>
    <row r="7" spans="1:5">
      <c r="A7" s="7" t="s">
        <v>161</v>
      </c>
      <c r="B7" s="7" t="s">
        <v>571</v>
      </c>
      <c r="C7" s="7" t="s">
        <v>457</v>
      </c>
      <c r="D7" s="7" t="s">
        <v>572</v>
      </c>
      <c r="E7" s="7" t="s">
        <v>573</v>
      </c>
    </row>
    <row r="8" spans="1:5">
      <c r="A8" s="7" t="s">
        <v>164</v>
      </c>
      <c r="B8" s="7" t="s">
        <v>574</v>
      </c>
      <c r="C8" s="7" t="s">
        <v>394</v>
      </c>
      <c r="D8" s="7" t="s">
        <v>575</v>
      </c>
      <c r="E8" s="7" t="s">
        <v>576</v>
      </c>
    </row>
    <row r="9" spans="1:5">
      <c r="A9" s="7" t="s">
        <v>165</v>
      </c>
      <c r="B9" s="7" t="s">
        <v>577</v>
      </c>
      <c r="C9" s="7" t="s">
        <v>252</v>
      </c>
      <c r="D9" s="7" t="s">
        <v>578</v>
      </c>
      <c r="E9" s="7" t="s">
        <v>579</v>
      </c>
    </row>
    <row r="10" spans="1:5">
      <c r="A10" s="7" t="s">
        <v>167</v>
      </c>
      <c r="B10" s="7" t="s">
        <v>580</v>
      </c>
      <c r="C10" s="7" t="s">
        <v>245</v>
      </c>
      <c r="D10" s="7" t="s">
        <v>581</v>
      </c>
      <c r="E10" s="7" t="s">
        <v>582</v>
      </c>
    </row>
    <row r="11" spans="1:5" ht="15.95">
      <c r="A11" s="7" t="s">
        <v>31</v>
      </c>
      <c r="B11" s="7" t="s">
        <v>583</v>
      </c>
      <c r="C11" s="7" t="s">
        <v>584</v>
      </c>
      <c r="D11" s="7" t="s">
        <v>585</v>
      </c>
      <c r="E11" s="7" t="s">
        <v>586</v>
      </c>
    </row>
    <row r="12" spans="1:5">
      <c r="A12" s="7" t="s">
        <v>162</v>
      </c>
      <c r="B12" s="7" t="s">
        <v>587</v>
      </c>
      <c r="C12" s="7" t="s">
        <v>321</v>
      </c>
      <c r="D12" s="7" t="s">
        <v>588</v>
      </c>
      <c r="E12" s="7" t="s">
        <v>589</v>
      </c>
    </row>
    <row r="13" spans="1:5">
      <c r="A13" s="7" t="s">
        <v>163</v>
      </c>
      <c r="B13" s="7" t="s">
        <v>590</v>
      </c>
      <c r="C13" s="7" t="s">
        <v>189</v>
      </c>
      <c r="D13" s="7" t="s">
        <v>591</v>
      </c>
      <c r="E13" s="7" t="s">
        <v>592</v>
      </c>
    </row>
    <row r="14" spans="1:5">
      <c r="A14" s="7" t="s">
        <v>55</v>
      </c>
      <c r="B14" s="7" t="s">
        <v>593</v>
      </c>
      <c r="C14" s="7" t="s">
        <v>594</v>
      </c>
      <c r="D14" s="7" t="s">
        <v>595</v>
      </c>
      <c r="E14" s="7" t="s">
        <v>596</v>
      </c>
    </row>
    <row r="15" spans="1:5">
      <c r="A15" s="7" t="s">
        <v>597</v>
      </c>
      <c r="B15" s="7" t="s">
        <v>598</v>
      </c>
      <c r="C15" s="7" t="s">
        <v>599</v>
      </c>
      <c r="D15" s="7" t="s">
        <v>600</v>
      </c>
      <c r="E15" s="7" t="s">
        <v>601</v>
      </c>
    </row>
    <row r="16" spans="1:5">
      <c r="A16" s="7" t="s">
        <v>602</v>
      </c>
      <c r="B16" s="7" t="s">
        <v>566</v>
      </c>
      <c r="C16" s="7" t="s">
        <v>603</v>
      </c>
      <c r="D16" s="7" t="s">
        <v>604</v>
      </c>
      <c r="E16" t="s">
        <v>605</v>
      </c>
    </row>
    <row r="17" spans="1:5">
      <c r="A17" s="7" t="s">
        <v>606</v>
      </c>
      <c r="B17" s="7" t="s">
        <v>607</v>
      </c>
      <c r="C17" t="s">
        <v>608</v>
      </c>
      <c r="D17" s="7" t="s">
        <v>609</v>
      </c>
      <c r="E17" s="7" t="s">
        <v>610</v>
      </c>
    </row>
    <row r="18" spans="1:5">
      <c r="A18" s="7" t="s">
        <v>611</v>
      </c>
      <c r="B18" s="7" t="s">
        <v>612</v>
      </c>
      <c r="D18" s="7" t="s">
        <v>613</v>
      </c>
    </row>
  </sheetData>
  <autoFilter ref="A1:E2" xr:uid="{00000000-0009-0000-0000-000004000000}"/>
  <pageMargins left="0.75" right="0.75" top="1" bottom="1" header="0.5" footer="0.5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DC4F-3737-2B44-A2CF-438B68B10917}">
  <dimension ref="A1:N3"/>
  <sheetViews>
    <sheetView workbookViewId="0">
      <selection activeCell="E15" sqref="E15"/>
    </sheetView>
  </sheetViews>
  <sheetFormatPr defaultColWidth="11.42578125" defaultRowHeight="15"/>
  <cols>
    <col min="1" max="1" width="14.42578125" customWidth="1"/>
    <col min="2" max="2" width="17.85546875" customWidth="1"/>
    <col min="3" max="3" width="14.42578125" customWidth="1"/>
    <col min="4" max="4" width="16.85546875" customWidth="1"/>
    <col min="5" max="5" width="14.42578125" customWidth="1"/>
    <col min="6" max="6" width="19" customWidth="1"/>
    <col min="7" max="7" width="17.28515625" customWidth="1"/>
    <col min="8" max="8" width="15.42578125" bestFit="1" customWidth="1"/>
    <col min="9" max="9" width="15.7109375" customWidth="1"/>
    <col min="10" max="10" width="16.140625" customWidth="1"/>
    <col min="11" max="11" width="18.42578125" customWidth="1"/>
    <col min="12" max="12" width="19" customWidth="1"/>
    <col min="13" max="13" width="18.42578125" customWidth="1"/>
    <col min="14" max="14" width="21" customWidth="1"/>
  </cols>
  <sheetData>
    <row r="1" spans="1:14" ht="15.95">
      <c r="A1" s="1" t="s">
        <v>160</v>
      </c>
      <c r="B1" s="8" t="s">
        <v>161</v>
      </c>
      <c r="C1" s="1" t="s">
        <v>30</v>
      </c>
      <c r="D1" s="1" t="s">
        <v>31</v>
      </c>
      <c r="E1" s="1" t="s">
        <v>32</v>
      </c>
      <c r="F1" s="1" t="s">
        <v>162</v>
      </c>
      <c r="G1" s="1" t="s">
        <v>53</v>
      </c>
      <c r="H1" s="1" t="s">
        <v>54</v>
      </c>
      <c r="I1" s="1" t="s">
        <v>55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548</v>
      </c>
      <c r="B2" s="4">
        <v>46025</v>
      </c>
      <c r="C2" t="s">
        <v>48</v>
      </c>
      <c r="D2" t="s">
        <v>49</v>
      </c>
      <c r="E2" t="s">
        <v>50</v>
      </c>
      <c r="F2" t="s">
        <v>171</v>
      </c>
      <c r="G2" t="s">
        <v>98</v>
      </c>
      <c r="H2" t="s">
        <v>99</v>
      </c>
      <c r="I2" t="s">
        <v>63</v>
      </c>
      <c r="J2" t="s">
        <v>153</v>
      </c>
      <c r="L2" s="5">
        <v>170</v>
      </c>
      <c r="M2" s="5">
        <v>95</v>
      </c>
      <c r="N2" s="6">
        <v>0</v>
      </c>
    </row>
    <row r="3" spans="1:14">
      <c r="A3" t="s">
        <v>552</v>
      </c>
      <c r="B3" s="4">
        <v>46187</v>
      </c>
      <c r="C3" t="s">
        <v>51</v>
      </c>
      <c r="D3" t="s">
        <v>52</v>
      </c>
      <c r="E3" t="s">
        <v>50</v>
      </c>
      <c r="F3" t="s">
        <v>173</v>
      </c>
      <c r="G3" t="s">
        <v>108</v>
      </c>
      <c r="H3" t="s">
        <v>109</v>
      </c>
      <c r="I3" t="s">
        <v>58</v>
      </c>
      <c r="J3" t="s">
        <v>151</v>
      </c>
      <c r="L3" s="5">
        <v>136.5</v>
      </c>
      <c r="M3" s="5">
        <v>65</v>
      </c>
      <c r="N3" s="6">
        <v>0.15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2026-10-06T16:02:22Z</dcterms:created>
  <dcterms:modified xsi:type="dcterms:W3CDTF">2026-10-14T22:52:29Z</dcterms:modified>
  <cp:category/>
  <cp:contentStatus/>
</cp:coreProperties>
</file>